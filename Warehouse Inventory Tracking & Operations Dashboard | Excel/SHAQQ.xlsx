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AEEBE39-CB4D-41F8-B691-C0876C5A1CA9}" xr6:coauthVersionLast="47" xr6:coauthVersionMax="47" xr10:uidLastSave="{00000000-0000-0000-0000-000000000000}"/>
  <bookViews>
    <workbookView xWindow="-120" yWindow="-120" windowWidth="24240" windowHeight="13290" activeTab="1" xr2:uid="{56E91C66-F9EF-45EA-BC8B-DC64A66DDD00}"/>
  </bookViews>
  <sheets>
    <sheet name="Master_Products" sheetId="1" r:id="rId1"/>
    <sheet name="Transactions" sheetId="2" r:id="rId2"/>
    <sheet name="Inventory" sheetId="4" r:id="rId3"/>
    <sheet name="Pivot Table" sheetId="9" r:id="rId4"/>
    <sheet name="Dashboard" sheetId="7" r:id="rId5"/>
  </sheets>
  <definedNames>
    <definedName name="_xlcn.WorksheetConnection_SHAQQ.xlsxTable21" hidden="1">Table2[]</definedName>
    <definedName name="_xlcn.WorksheetConnection_SHAQQ.xlsxTable31" hidden="1">Table3[]</definedName>
    <definedName name="Damaged">#REF!</definedName>
    <definedName name="Dispached">#REF!</definedName>
    <definedName name="Inventory_Value">#REF!</definedName>
    <definedName name="Total_stock">#REF!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11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SHAQQ.xlsx!Table3"/>
          <x15:modelTable id="Table2" name="Table2" connection="WorksheetConnection_SHAQQ.xlsx!Table2"/>
        </x15:modelTables>
        <x15:modelRelationships>
          <x15:modelRelationship fromTable="Table2" fromColumn="SKU_ID" toTable="Table3" toColumn="SKU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3" i="4"/>
  <c r="G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E2" i="4"/>
  <c r="E3" i="4"/>
  <c r="E4" i="4"/>
  <c r="E5" i="4"/>
  <c r="E6" i="4"/>
  <c r="I6" i="4" s="1"/>
  <c r="E7" i="4"/>
  <c r="E8" i="4"/>
  <c r="E9" i="4"/>
  <c r="E10" i="4"/>
  <c r="I10" i="4" s="1"/>
  <c r="M10" i="4" s="1"/>
  <c r="E11" i="4"/>
  <c r="E12" i="4"/>
  <c r="E13" i="4"/>
  <c r="E14" i="4"/>
  <c r="I14" i="4" s="1"/>
  <c r="E15" i="4"/>
  <c r="E16" i="4"/>
  <c r="E17" i="4"/>
  <c r="E18" i="4"/>
  <c r="E19" i="4"/>
  <c r="E20" i="4"/>
  <c r="E21" i="4"/>
  <c r="I7" i="4" l="1"/>
  <c r="M7" i="4" s="1"/>
  <c r="I3" i="4"/>
  <c r="M3" i="4" s="1"/>
  <c r="I15" i="4"/>
  <c r="M15" i="4" s="1"/>
  <c r="I12" i="4"/>
  <c r="M12" i="4" s="1"/>
  <c r="I18" i="4"/>
  <c r="M18" i="4" s="1"/>
  <c r="I8" i="4"/>
  <c r="M8" i="4" s="1"/>
  <c r="I11" i="4"/>
  <c r="M11" i="4" s="1"/>
  <c r="I20" i="4"/>
  <c r="M20" i="4" s="1"/>
  <c r="I16" i="4"/>
  <c r="M16" i="4" s="1"/>
  <c r="I4" i="4"/>
  <c r="M4" i="4" s="1"/>
  <c r="M6" i="4"/>
  <c r="L6" i="4"/>
  <c r="M14" i="4"/>
  <c r="L14" i="4"/>
  <c r="I13" i="4"/>
  <c r="L7" i="4"/>
  <c r="L3" i="4"/>
  <c r="L10" i="4"/>
  <c r="I19" i="4"/>
  <c r="I21" i="4"/>
  <c r="I17" i="4"/>
  <c r="I9" i="4"/>
  <c r="I5" i="4"/>
  <c r="I2" i="4"/>
  <c r="L15" i="4" l="1"/>
  <c r="L18" i="4"/>
  <c r="L12" i="4"/>
  <c r="L16" i="4"/>
  <c r="L11" i="4"/>
  <c r="L8" i="4"/>
  <c r="L20" i="4"/>
  <c r="L4" i="4"/>
  <c r="M2" i="4"/>
  <c r="L2" i="4"/>
  <c r="M19" i="4"/>
  <c r="L19" i="4"/>
  <c r="L21" i="4"/>
  <c r="M21" i="4"/>
  <c r="M5" i="4"/>
  <c r="L5" i="4"/>
  <c r="L9" i="4"/>
  <c r="M9" i="4"/>
  <c r="M17" i="4"/>
  <c r="L17" i="4"/>
  <c r="L13" i="4"/>
  <c r="M1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10D242-3464-4093-B088-578033DDF2F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F62CA79-1D39-4088-BE4B-70F389C1276F}" name="WorksheetConnection_SHAQQ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SHAQQ.xlsxTable21"/>
        </x15:connection>
      </ext>
    </extLst>
  </connection>
  <connection id="3" xr16:uid="{6CD3F7C2-B6C5-4199-AFA9-E994B424BA5A}" name="WorksheetConnection_SHAQQ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SHAQQ.xlsxTable3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2].[Transaction_Type].&amp;[Stock Receive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<sst xmlns="http://schemas.openxmlformats.org/spreadsheetml/2006/main" count="1025" uniqueCount="295">
  <si>
    <t>SKU_ID</t>
  </si>
  <si>
    <t>Client_ID</t>
  </si>
  <si>
    <t>Client Name</t>
  </si>
  <si>
    <t>Item Description</t>
  </si>
  <si>
    <t>Category</t>
  </si>
  <si>
    <t>Storage Zone</t>
  </si>
  <si>
    <t>Reorder Threshold</t>
  </si>
  <si>
    <t>Unit</t>
  </si>
  <si>
    <t>Unit Cost (GHS)</t>
  </si>
  <si>
    <t>SKU-1001</t>
  </si>
  <si>
    <t>CL001</t>
  </si>
  <si>
    <t>Kasapreko Co Ltd</t>
  </si>
  <si>
    <t>Alomo Bitters 750ml (Case of 12)</t>
  </si>
  <si>
    <t>Beverages</t>
  </si>
  <si>
    <t>Zone A - Pallet Rack</t>
  </si>
  <si>
    <t>Case</t>
  </si>
  <si>
    <t>SKU-1002</t>
  </si>
  <si>
    <t>Storm Energy Drink 330ml (Case of 24)</t>
  </si>
  <si>
    <t>SKU-1003</t>
  </si>
  <si>
    <t>CL002</t>
  </si>
  <si>
    <t>Melcom Wholesale</t>
  </si>
  <si>
    <t>Smart LED TV 43 inch</t>
  </si>
  <si>
    <t>Electronics</t>
  </si>
  <si>
    <t>Zone B - Shelving</t>
  </si>
  <si>
    <t>Piece</t>
  </si>
  <si>
    <t>SKU-1004</t>
  </si>
  <si>
    <t>Stand Fan 16 inch</t>
  </si>
  <si>
    <t>Appliances</t>
  </si>
  <si>
    <t>SKU-1005</t>
  </si>
  <si>
    <t>CL003</t>
  </si>
  <si>
    <t>FanMilk Ghana</t>
  </si>
  <si>
    <t>FanYogo Strawberry 120ml (Carton of 40)</t>
  </si>
  <si>
    <t>Frozen/Food</t>
  </si>
  <si>
    <t>Zone C - Cold Storage</t>
  </si>
  <si>
    <t>Carton</t>
  </si>
  <si>
    <t>SKU-1006</t>
  </si>
  <si>
    <t>FanChoco Chocolate 120ml (Carton of 40)</t>
  </si>
  <si>
    <t>SKU-1007</t>
  </si>
  <si>
    <t>CL004</t>
  </si>
  <si>
    <t>Jumia Express</t>
  </si>
  <si>
    <t>Wireless Bluetooth Earbuds</t>
  </si>
  <si>
    <t>SKU-1008</t>
  </si>
  <si>
    <t>Fast Charging Power Bank 20000mAh</t>
  </si>
  <si>
    <t>SKU-1009</t>
  </si>
  <si>
    <t>CL005</t>
  </si>
  <si>
    <t>Unilever Ghana</t>
  </si>
  <si>
    <t>Geisha Soap Aloe Vera 225g (Pack of 24)</t>
  </si>
  <si>
    <t>Personal Care</t>
  </si>
  <si>
    <t>Zone D - Bulk Storage</t>
  </si>
  <si>
    <t>Pack</t>
  </si>
  <si>
    <t>SKU-1010</t>
  </si>
  <si>
    <t>Pepsodent Triple Protection 175g (Pack of 12)</t>
  </si>
  <si>
    <t>SKU-1011</t>
  </si>
  <si>
    <t>CL006</t>
  </si>
  <si>
    <t>Nestle Ghana</t>
  </si>
  <si>
    <t>Milo 400g (Carton of 12)</t>
  </si>
  <si>
    <t>Food</t>
  </si>
  <si>
    <t>SKU-1012</t>
  </si>
  <si>
    <t>Nescafe Classic 50g (Pack of 24)</t>
  </si>
  <si>
    <t>SKU-1013</t>
  </si>
  <si>
    <t>CL007</t>
  </si>
  <si>
    <t>Vodafone Ghana</t>
  </si>
  <si>
    <t>4G MiFi Router</t>
  </si>
  <si>
    <t>SKU-1014</t>
  </si>
  <si>
    <t>USB-C Fast Charger</t>
  </si>
  <si>
    <t>SKU-1015</t>
  </si>
  <si>
    <t>CL008</t>
  </si>
  <si>
    <t>PZ Cussons Ghana</t>
  </si>
  <si>
    <t>Imperial Leather Soap (Pack of 24)</t>
  </si>
  <si>
    <t>SKU-1016</t>
  </si>
  <si>
    <t>Morning Fresh Dishwashing Liquid 500ml</t>
  </si>
  <si>
    <t>Household</t>
  </si>
  <si>
    <t>Bottle</t>
  </si>
  <si>
    <t>SKU-1017</t>
  </si>
  <si>
    <t>Plastic Storage Container Set</t>
  </si>
  <si>
    <t>Zone E - General Storage</t>
  </si>
  <si>
    <t>Set</t>
  </si>
  <si>
    <t>SKU-1018</t>
  </si>
  <si>
    <t>Smart Watch Series 8</t>
  </si>
  <si>
    <t>SKU-1019</t>
  </si>
  <si>
    <t>FanIce Vanilla 100ml (Carton of 40)</t>
  </si>
  <si>
    <t>SKU-1020</t>
  </si>
  <si>
    <t>Awake Mineral Water 500ml (Pack of 24)</t>
  </si>
  <si>
    <t>Transaction_ID</t>
  </si>
  <si>
    <t>Date</t>
  </si>
  <si>
    <t>Transaction_Type</t>
  </si>
  <si>
    <t>Quantity</t>
  </si>
  <si>
    <t>Order_ID</t>
  </si>
  <si>
    <t>Warehouse</t>
  </si>
  <si>
    <t>Staff_ID</t>
  </si>
  <si>
    <t>TX0001</t>
  </si>
  <si>
    <t>Opening Stock</t>
  </si>
  <si>
    <t>-</t>
  </si>
  <si>
    <t>Accra Central</t>
  </si>
  <si>
    <t>ST001</t>
  </si>
  <si>
    <t>TX0002</t>
  </si>
  <si>
    <t>TX0003</t>
  </si>
  <si>
    <t>ST002</t>
  </si>
  <si>
    <t>TX0004</t>
  </si>
  <si>
    <t>TX0005</t>
  </si>
  <si>
    <t>ST003</t>
  </si>
  <si>
    <t>TX0006</t>
  </si>
  <si>
    <t>TX0007</t>
  </si>
  <si>
    <t>ST004</t>
  </si>
  <si>
    <t>TX0008</t>
  </si>
  <si>
    <t>TX0009</t>
  </si>
  <si>
    <t>ST005</t>
  </si>
  <si>
    <t>TX0010</t>
  </si>
  <si>
    <t>TX0011</t>
  </si>
  <si>
    <t>ST006</t>
  </si>
  <si>
    <t>TX0012</t>
  </si>
  <si>
    <t>TX0013</t>
  </si>
  <si>
    <t>ST007</t>
  </si>
  <si>
    <t>TX0014</t>
  </si>
  <si>
    <t>TX0015</t>
  </si>
  <si>
    <t>ST008</t>
  </si>
  <si>
    <t>TX0016</t>
  </si>
  <si>
    <t>TX0017</t>
  </si>
  <si>
    <t>TX0018</t>
  </si>
  <si>
    <t>TX0019</t>
  </si>
  <si>
    <t>TX0020</t>
  </si>
  <si>
    <t>TX0021</t>
  </si>
  <si>
    <t>Stock Received</t>
  </si>
  <si>
    <t>PO-001</t>
  </si>
  <si>
    <t>TX0022</t>
  </si>
  <si>
    <t>PO-002</t>
  </si>
  <si>
    <t>TX0023</t>
  </si>
  <si>
    <t>PO-003</t>
  </si>
  <si>
    <t>TX0024</t>
  </si>
  <si>
    <t>PO-004</t>
  </si>
  <si>
    <t>TX0025</t>
  </si>
  <si>
    <t>Dispatched</t>
  </si>
  <si>
    <t>ORD-001</t>
  </si>
  <si>
    <t>TX0026</t>
  </si>
  <si>
    <t>ORD-002</t>
  </si>
  <si>
    <t>TX0027</t>
  </si>
  <si>
    <t>ORD-003</t>
  </si>
  <si>
    <t>TX0028</t>
  </si>
  <si>
    <t>ORD-004</t>
  </si>
  <si>
    <t>TX0029</t>
  </si>
  <si>
    <t>ORD-005</t>
  </si>
  <si>
    <t>TX0030</t>
  </si>
  <si>
    <t>ORD-006</t>
  </si>
  <si>
    <t>TX0031</t>
  </si>
  <si>
    <t>ORD-007</t>
  </si>
  <si>
    <t>TX0032</t>
  </si>
  <si>
    <t>ORD-008</t>
  </si>
  <si>
    <t>TX0033</t>
  </si>
  <si>
    <t>ORD-009</t>
  </si>
  <si>
    <t>TX0034</t>
  </si>
  <si>
    <t>ORD-010</t>
  </si>
  <si>
    <t>TX0035</t>
  </si>
  <si>
    <t>ORD-011</t>
  </si>
  <si>
    <t>TX0036</t>
  </si>
  <si>
    <t>ORD-012</t>
  </si>
  <si>
    <t>TX0037</t>
  </si>
  <si>
    <t>ORD-013</t>
  </si>
  <si>
    <t>TX0038</t>
  </si>
  <si>
    <t>ORD-014</t>
  </si>
  <si>
    <t>TX0039</t>
  </si>
  <si>
    <t>ORD-015</t>
  </si>
  <si>
    <t>TX0040</t>
  </si>
  <si>
    <t>ORD-016</t>
  </si>
  <si>
    <t>TX0041</t>
  </si>
  <si>
    <t>PO-005</t>
  </si>
  <si>
    <t>TX0042</t>
  </si>
  <si>
    <t>PO-006</t>
  </si>
  <si>
    <t>TX0043</t>
  </si>
  <si>
    <t>PO-007</t>
  </si>
  <si>
    <t>TX0044</t>
  </si>
  <si>
    <t>ORD-017</t>
  </si>
  <si>
    <t>TX0045</t>
  </si>
  <si>
    <t>ORD-018</t>
  </si>
  <si>
    <t>TX0046</t>
  </si>
  <si>
    <t>ORD-019</t>
  </si>
  <si>
    <t>TX0047</t>
  </si>
  <si>
    <t>ORD-020</t>
  </si>
  <si>
    <t>TX0048</t>
  </si>
  <si>
    <t>ORD-021</t>
  </si>
  <si>
    <t>TX0049</t>
  </si>
  <si>
    <t>PO-008</t>
  </si>
  <si>
    <t>TX0050</t>
  </si>
  <si>
    <t>PO-009</t>
  </si>
  <si>
    <t>TX0051</t>
  </si>
  <si>
    <t>PO-010</t>
  </si>
  <si>
    <t>TX0052</t>
  </si>
  <si>
    <t>PO-011</t>
  </si>
  <si>
    <t>TX0053</t>
  </si>
  <si>
    <t>PO-012</t>
  </si>
  <si>
    <t>TX0054</t>
  </si>
  <si>
    <t>PO-013</t>
  </si>
  <si>
    <t>TX0055</t>
  </si>
  <si>
    <t>ORD-022</t>
  </si>
  <si>
    <t>TX0056</t>
  </si>
  <si>
    <t>ORD-023</t>
  </si>
  <si>
    <t>TX0057</t>
  </si>
  <si>
    <t>ORD-024</t>
  </si>
  <si>
    <t>TX0058</t>
  </si>
  <si>
    <t>ORD-025</t>
  </si>
  <si>
    <t>TX0059</t>
  </si>
  <si>
    <t>PO-014</t>
  </si>
  <si>
    <t>TX0060</t>
  </si>
  <si>
    <t>PO-015</t>
  </si>
  <si>
    <t>TX0061</t>
  </si>
  <si>
    <t>PO-016</t>
  </si>
  <si>
    <t>TX0062</t>
  </si>
  <si>
    <t>PO-017</t>
  </si>
  <si>
    <t>TX0063</t>
  </si>
  <si>
    <t>PO-018</t>
  </si>
  <si>
    <t>TX0064</t>
  </si>
  <si>
    <t>PO-019</t>
  </si>
  <si>
    <t>TX0065</t>
  </si>
  <si>
    <t>PO-020</t>
  </si>
  <si>
    <t>TX0066</t>
  </si>
  <si>
    <t>ORD-026</t>
  </si>
  <si>
    <t>TX0067</t>
  </si>
  <si>
    <t>ORD-027</t>
  </si>
  <si>
    <t>TX0068</t>
  </si>
  <si>
    <t>ORD-028</t>
  </si>
  <si>
    <t>TX0069</t>
  </si>
  <si>
    <t>ORD-029</t>
  </si>
  <si>
    <t>TX0070</t>
  </si>
  <si>
    <t>ORD-030</t>
  </si>
  <si>
    <t>TX0071</t>
  </si>
  <si>
    <t>ORD-031</t>
  </si>
  <si>
    <t>TX0072</t>
  </si>
  <si>
    <t>ORD-032</t>
  </si>
  <si>
    <t>TX0073</t>
  </si>
  <si>
    <t>ORD-033</t>
  </si>
  <si>
    <t>TX0074</t>
  </si>
  <si>
    <t>ORD-034</t>
  </si>
  <si>
    <t>TX0075</t>
  </si>
  <si>
    <t>ORD-035</t>
  </si>
  <si>
    <t>TX0076</t>
  </si>
  <si>
    <t>PO-021</t>
  </si>
  <si>
    <t>TX0077</t>
  </si>
  <si>
    <t>PO-022</t>
  </si>
  <si>
    <t>TX0078</t>
  </si>
  <si>
    <t>PO-023</t>
  </si>
  <si>
    <t>TX0079</t>
  </si>
  <si>
    <t>PO-024</t>
  </si>
  <si>
    <t>TX0080</t>
  </si>
  <si>
    <t>ORD-036</t>
  </si>
  <si>
    <t>TX0081</t>
  </si>
  <si>
    <t>ORD-037</t>
  </si>
  <si>
    <t>TX0082</t>
  </si>
  <si>
    <t>ORD-038</t>
  </si>
  <si>
    <t>TX0083</t>
  </si>
  <si>
    <t>ORD-039</t>
  </si>
  <si>
    <t>TX0084</t>
  </si>
  <si>
    <t>ORD-040</t>
  </si>
  <si>
    <t>TX0085</t>
  </si>
  <si>
    <t>Damaged</t>
  </si>
  <si>
    <t>TX0086</t>
  </si>
  <si>
    <t>TX0087</t>
  </si>
  <si>
    <t>TX0088</t>
  </si>
  <si>
    <t>TX0089</t>
  </si>
  <si>
    <t>TX0090</t>
  </si>
  <si>
    <t>ORD-041</t>
  </si>
  <si>
    <t>TX0091</t>
  </si>
  <si>
    <t>ORD-042</t>
  </si>
  <si>
    <t>TX0092</t>
  </si>
  <si>
    <t>ORD-043</t>
  </si>
  <si>
    <t>TX0093</t>
  </si>
  <si>
    <t>ORD-044</t>
  </si>
  <si>
    <t>TX0094</t>
  </si>
  <si>
    <t>ORD-045</t>
  </si>
  <si>
    <t>TX0095</t>
  </si>
  <si>
    <t>ORD-046</t>
  </si>
  <si>
    <t>TX0096</t>
  </si>
  <si>
    <t>ORD-047</t>
  </si>
  <si>
    <t>TX0097</t>
  </si>
  <si>
    <t>PO-025</t>
  </si>
  <si>
    <t>TX0098</t>
  </si>
  <si>
    <t>ORD-048</t>
  </si>
  <si>
    <t>TX0099</t>
  </si>
  <si>
    <t>PO-026</t>
  </si>
  <si>
    <t>TX0100</t>
  </si>
  <si>
    <t>ORD-049</t>
  </si>
  <si>
    <t>Row Labels</t>
  </si>
  <si>
    <t>Grand Total</t>
  </si>
  <si>
    <t>Stock Dispatched</t>
  </si>
  <si>
    <t>Closing Stock</t>
  </si>
  <si>
    <t>Inventory Value (GHS)</t>
  </si>
  <si>
    <t>Stock Status</t>
  </si>
  <si>
    <t>TX0101</t>
  </si>
  <si>
    <t>ORD-050</t>
  </si>
  <si>
    <t>Sum of Stock Dispatched</t>
  </si>
  <si>
    <t>Sum of Damaged</t>
  </si>
  <si>
    <t>Sum of Inventory Value (GHS)</t>
  </si>
  <si>
    <t>Sum of Closing Stock</t>
  </si>
  <si>
    <t>Sum of Quantity</t>
  </si>
  <si>
    <t>TX0102</t>
  </si>
  <si>
    <t>ORD-051</t>
  </si>
  <si>
    <t>Distinct Count of 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</si>
</sst>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4" fontId="0" fillId="0" borderId="0" xfId="0" applyNumberFormat="1" applyAlignment="1">
      <alignment horizontal="left"/>
    </xf>
    <xf numFmtId="4" fontId="0" fillId="0" borderId="0" xfId="0" applyNumberFormat="1"/>
    <xf numFmtId="14" fontId="0" fillId="2" borderId="0" xfId="0" applyNumberFormat="1" applyFill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2"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7013616"/>
        <c:axId val="646966768"/>
      </c:barChart>
      <c:catAx>
        <c:axId val="40701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66768"/>
        <c:crosses val="autoZero"/>
        <c:auto val="1"/>
        <c:lblAlgn val="ctr"/>
        <c:lblOffset val="100"/>
        <c:noMultiLvlLbl val="0"/>
      </c:catAx>
      <c:valAx>
        <c:axId val="64696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1361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[SHAQQ.xlsx]Pivot Table!StockR-Table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Stock</a:t>
            </a:r>
            <a:r>
              <a:rPr lang="en-GB" sz="2400" b="1" baseline="0"/>
              <a:t> Received Over Time</a:t>
            </a:r>
            <a:endParaRPr lang="en-GB" sz="2400" b="1"/>
          </a:p>
        </c:rich>
      </c:tx>
      <c:layout>
        <c:manualLayout>
          <c:xMode val="edge"/>
          <c:yMode val="edge"/>
          <c:x val="0.32553332136419338"/>
          <c:y val="8.78395902586088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Table'!$D$3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Table'!$C$4:$C$13</c:f>
              <c:strCache>
                <c:ptCount val="9"/>
                <c:pt idx="0">
                  <c:v>02/08/2026</c:v>
                </c:pt>
                <c:pt idx="1">
                  <c:v>07/08/2026</c:v>
                </c:pt>
                <c:pt idx="2">
                  <c:v>09/08/2026</c:v>
                </c:pt>
                <c:pt idx="3">
                  <c:v>10/08/2026</c:v>
                </c:pt>
                <c:pt idx="4">
                  <c:v>12/08/2026</c:v>
                </c:pt>
                <c:pt idx="5">
                  <c:v>13/08/2026</c:v>
                </c:pt>
                <c:pt idx="6">
                  <c:v>16/08/2026</c:v>
                </c:pt>
                <c:pt idx="7">
                  <c:v>17/08/2026</c:v>
                </c:pt>
                <c:pt idx="8">
                  <c:v>18/08/2026</c:v>
                </c:pt>
              </c:strCache>
            </c:strRef>
          </c:cat>
          <c:val>
            <c:numRef>
              <c:f>'Pivot Table'!$D$4:$D$13</c:f>
              <c:numCache>
                <c:formatCode>General</c:formatCode>
                <c:ptCount val="9"/>
                <c:pt idx="0">
                  <c:v>600</c:v>
                </c:pt>
                <c:pt idx="1">
                  <c:v>360</c:v>
                </c:pt>
                <c:pt idx="2">
                  <c:v>75</c:v>
                </c:pt>
                <c:pt idx="3">
                  <c:v>450</c:v>
                </c:pt>
                <c:pt idx="4">
                  <c:v>350</c:v>
                </c:pt>
                <c:pt idx="5">
                  <c:v>255</c:v>
                </c:pt>
                <c:pt idx="6">
                  <c:v>500</c:v>
                </c:pt>
                <c:pt idx="7">
                  <c:v>250</c:v>
                </c:pt>
                <c:pt idx="8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6-465A-9467-092A300F8D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8784912"/>
        <c:axId val="378785264"/>
      </c:lineChart>
      <c:catAx>
        <c:axId val="37878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85264"/>
        <c:crosses val="autoZero"/>
        <c:auto val="1"/>
        <c:lblAlgn val="ctr"/>
        <c:lblOffset val="100"/>
        <c:noMultiLvlLbl val="0"/>
      </c:catAx>
      <c:valAx>
        <c:axId val="378785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878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[SHAQQ.xlsx]Pivot Table!ClosingS_table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Stock Per Client</a:t>
            </a:r>
            <a:endParaRPr lang="en-US" sz="2000" b="1"/>
          </a:p>
        </c:rich>
      </c:tx>
      <c:layout>
        <c:manualLayout>
          <c:xMode val="edge"/>
          <c:yMode val="edge"/>
          <c:x val="0.31859719438877754"/>
          <c:y val="3.3792787540601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Table'!$F$4:$F$12</c:f>
              <c:strCache>
                <c:ptCount val="8"/>
                <c:pt idx="0">
                  <c:v>Kasapreko Co Ltd</c:v>
                </c:pt>
                <c:pt idx="1">
                  <c:v>FanMilk Ghana</c:v>
                </c:pt>
                <c:pt idx="2">
                  <c:v>Unilever Ghana</c:v>
                </c:pt>
                <c:pt idx="3">
                  <c:v>PZ Cussons Ghana</c:v>
                </c:pt>
                <c:pt idx="4">
                  <c:v>Jumia Express</c:v>
                </c:pt>
                <c:pt idx="5">
                  <c:v>Melcom Wholesale</c:v>
                </c:pt>
                <c:pt idx="6">
                  <c:v>Vodafone Ghana</c:v>
                </c:pt>
                <c:pt idx="7">
                  <c:v>Nestle Ghana</c:v>
                </c:pt>
              </c:strCache>
            </c:strRef>
          </c:cat>
          <c:val>
            <c:numRef>
              <c:f>'Pivot Table'!$G$4:$G$12</c:f>
              <c:numCache>
                <c:formatCode>General</c:formatCode>
                <c:ptCount val="8"/>
                <c:pt idx="0">
                  <c:v>1462</c:v>
                </c:pt>
                <c:pt idx="1">
                  <c:v>1038</c:v>
                </c:pt>
                <c:pt idx="2">
                  <c:v>584</c:v>
                </c:pt>
                <c:pt idx="3">
                  <c:v>495</c:v>
                </c:pt>
                <c:pt idx="4">
                  <c:v>430</c:v>
                </c:pt>
                <c:pt idx="5">
                  <c:v>335</c:v>
                </c:pt>
                <c:pt idx="6">
                  <c:v>280</c:v>
                </c:pt>
                <c:pt idx="7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3-4506-B785-6061E3892C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3865304"/>
        <c:axId val="863867416"/>
      </c:barChart>
      <c:catAx>
        <c:axId val="86386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67416"/>
        <c:crosses val="autoZero"/>
        <c:auto val="1"/>
        <c:lblAlgn val="ctr"/>
        <c:lblOffset val="100"/>
        <c:noMultiLvlLbl val="0"/>
      </c:catAx>
      <c:valAx>
        <c:axId val="863867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386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[SHAQQ.xlsx]Pivot Table!InventoryT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Inventory</a:t>
            </a:r>
            <a:r>
              <a:rPr lang="en-GB" sz="2000" b="1" baseline="0"/>
              <a:t> Value(GHC)  Per Client</a:t>
            </a:r>
            <a:endParaRPr lang="en-GB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Table'!$C$18:$C$26</c:f>
              <c:strCache>
                <c:ptCount val="8"/>
                <c:pt idx="0">
                  <c:v>Melcom Wholesale</c:v>
                </c:pt>
                <c:pt idx="1">
                  <c:v>FanMilk Ghana</c:v>
                </c:pt>
                <c:pt idx="2">
                  <c:v>Kasapreko Co Ltd</c:v>
                </c:pt>
                <c:pt idx="3">
                  <c:v>Unilever Ghana</c:v>
                </c:pt>
                <c:pt idx="4">
                  <c:v>Jumia Express</c:v>
                </c:pt>
                <c:pt idx="5">
                  <c:v>Nestle Ghana</c:v>
                </c:pt>
                <c:pt idx="6">
                  <c:v>Vodafone Ghana</c:v>
                </c:pt>
                <c:pt idx="7">
                  <c:v>PZ Cussons Ghana</c:v>
                </c:pt>
              </c:strCache>
            </c:strRef>
          </c:cat>
          <c:val>
            <c:numRef>
              <c:f>'Pivot Table'!$D$18:$D$26</c:f>
              <c:numCache>
                <c:formatCode>#,##0.00</c:formatCode>
                <c:ptCount val="8"/>
                <c:pt idx="0">
                  <c:v>197150</c:v>
                </c:pt>
                <c:pt idx="1">
                  <c:v>112830</c:v>
                </c:pt>
                <c:pt idx="2">
                  <c:v>109410</c:v>
                </c:pt>
                <c:pt idx="3">
                  <c:v>78660</c:v>
                </c:pt>
                <c:pt idx="4">
                  <c:v>63825</c:v>
                </c:pt>
                <c:pt idx="5">
                  <c:v>57225</c:v>
                </c:pt>
                <c:pt idx="6">
                  <c:v>45500</c:v>
                </c:pt>
                <c:pt idx="7">
                  <c:v>40050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E-4730-BA8B-EE61D9CCFD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9341936"/>
        <c:axId val="849338416"/>
      </c:barChart>
      <c:catAx>
        <c:axId val="84934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38416"/>
        <c:crosses val="autoZero"/>
        <c:auto val="1"/>
        <c:lblAlgn val="ctr"/>
        <c:lblOffset val="100"/>
        <c:noMultiLvlLbl val="0"/>
      </c:catAx>
      <c:valAx>
        <c:axId val="849338416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4934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[SHAQQ.xlsx]Pivot Table!DispactchedT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Stock Dispatched To Clients</a:t>
            </a:r>
            <a:endParaRPr lang="en-US" sz="2000" b="1"/>
          </a:p>
        </c:rich>
      </c:tx>
      <c:layout>
        <c:manualLayout>
          <c:xMode val="edge"/>
          <c:yMode val="edge"/>
          <c:x val="0.31984903611186533"/>
          <c:y val="4.506731086234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Table'!$I$4:$I$12</c:f>
              <c:strCache>
                <c:ptCount val="8"/>
                <c:pt idx="0">
                  <c:v>Vodafone Ghana</c:v>
                </c:pt>
                <c:pt idx="1">
                  <c:v>Melcom Wholesale</c:v>
                </c:pt>
                <c:pt idx="2">
                  <c:v>PZ Cussons Ghana</c:v>
                </c:pt>
                <c:pt idx="3">
                  <c:v>Unilever Ghana</c:v>
                </c:pt>
                <c:pt idx="4">
                  <c:v>Jumia Express</c:v>
                </c:pt>
                <c:pt idx="5">
                  <c:v>FanMilk Ghana</c:v>
                </c:pt>
                <c:pt idx="6">
                  <c:v>Nestle Ghana</c:v>
                </c:pt>
                <c:pt idx="7">
                  <c:v>Kasapreko Co Ltd</c:v>
                </c:pt>
              </c:strCache>
            </c:strRef>
          </c:cat>
          <c:val>
            <c:numRef>
              <c:f>'Pivot Table'!$J$4:$J$12</c:f>
              <c:numCache>
                <c:formatCode>General</c:formatCode>
                <c:ptCount val="8"/>
                <c:pt idx="0">
                  <c:v>130</c:v>
                </c:pt>
                <c:pt idx="1">
                  <c:v>195</c:v>
                </c:pt>
                <c:pt idx="2">
                  <c:v>255</c:v>
                </c:pt>
                <c:pt idx="3">
                  <c:v>290</c:v>
                </c:pt>
                <c:pt idx="4">
                  <c:v>360</c:v>
                </c:pt>
                <c:pt idx="5">
                  <c:v>430</c:v>
                </c:pt>
                <c:pt idx="6">
                  <c:v>440</c:v>
                </c:pt>
                <c:pt idx="7">
                  <c:v>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F-4186-BCF1-3F4CFF4952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3873752"/>
        <c:axId val="863868824"/>
      </c:barChart>
      <c:catAx>
        <c:axId val="86387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68824"/>
        <c:crosses val="autoZero"/>
        <c:auto val="1"/>
        <c:lblAlgn val="ctr"/>
        <c:lblOffset val="100"/>
        <c:noMultiLvlLbl val="0"/>
      </c:catAx>
      <c:valAx>
        <c:axId val="863868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387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ransactions!A1"/><Relationship Id="rId2" Type="http://schemas.openxmlformats.org/officeDocument/2006/relationships/hyperlink" Target="#Master_Products!A1"/><Relationship Id="rId1" Type="http://schemas.openxmlformats.org/officeDocument/2006/relationships/image" Target="../media/image1.jpeg"/><Relationship Id="rId6" Type="http://schemas.openxmlformats.org/officeDocument/2006/relationships/hyperlink" Target="#'Pivot Table'!A1"/><Relationship Id="rId5" Type="http://schemas.openxmlformats.org/officeDocument/2006/relationships/hyperlink" Target="#Dashboard!A1"/><Relationship Id="rId4" Type="http://schemas.openxmlformats.org/officeDocument/2006/relationships/hyperlink" Target="#Inventory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ransactions!A1"/><Relationship Id="rId2" Type="http://schemas.openxmlformats.org/officeDocument/2006/relationships/hyperlink" Target="#Master_Products!A1"/><Relationship Id="rId1" Type="http://schemas.openxmlformats.org/officeDocument/2006/relationships/image" Target="../media/image1.jpeg"/><Relationship Id="rId6" Type="http://schemas.openxmlformats.org/officeDocument/2006/relationships/hyperlink" Target="#'Pivot Table'!A1"/><Relationship Id="rId5" Type="http://schemas.openxmlformats.org/officeDocument/2006/relationships/hyperlink" Target="#Dashboard!A1"/><Relationship Id="rId4" Type="http://schemas.openxmlformats.org/officeDocument/2006/relationships/hyperlink" Target="#Inventory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ransactions!A1"/><Relationship Id="rId2" Type="http://schemas.openxmlformats.org/officeDocument/2006/relationships/hyperlink" Target="#Master_Products!A1"/><Relationship Id="rId1" Type="http://schemas.openxmlformats.org/officeDocument/2006/relationships/image" Target="../media/image1.jpeg"/><Relationship Id="rId6" Type="http://schemas.openxmlformats.org/officeDocument/2006/relationships/hyperlink" Target="#'Pivot Table'!A1"/><Relationship Id="rId5" Type="http://schemas.openxmlformats.org/officeDocument/2006/relationships/hyperlink" Target="#Dashboard!A1"/><Relationship Id="rId4" Type="http://schemas.openxmlformats.org/officeDocument/2006/relationships/hyperlink" Target="#Inventory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Transactions!A1"/><Relationship Id="rId3" Type="http://schemas.openxmlformats.org/officeDocument/2006/relationships/chart" Target="../charts/chart3.xml"/><Relationship Id="rId7" Type="http://schemas.openxmlformats.org/officeDocument/2006/relationships/hyperlink" Target="#Master_Products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11" Type="http://schemas.openxmlformats.org/officeDocument/2006/relationships/hyperlink" Target="#'Pivot Table'!A1"/><Relationship Id="rId5" Type="http://schemas.openxmlformats.org/officeDocument/2006/relationships/chart" Target="../charts/chart5.xml"/><Relationship Id="rId10" Type="http://schemas.openxmlformats.org/officeDocument/2006/relationships/hyperlink" Target="#Dashboard!A1"/><Relationship Id="rId4" Type="http://schemas.openxmlformats.org/officeDocument/2006/relationships/chart" Target="../charts/chart4.xml"/><Relationship Id="rId9" Type="http://schemas.openxmlformats.org/officeDocument/2006/relationships/hyperlink" Target="#Inventory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114301</xdr:rowOff>
    </xdr:from>
    <xdr:to>
      <xdr:col>0</xdr:col>
      <xdr:colOff>1533525</xdr:colOff>
      <xdr:row>13</xdr:row>
      <xdr:rowOff>333374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9399F60-4E3D-453C-B533-D35CB6B9702B}"/>
            </a:ext>
          </a:extLst>
        </xdr:cNvPr>
        <xdr:cNvGrpSpPr/>
      </xdr:nvGrpSpPr>
      <xdr:grpSpPr>
        <a:xfrm>
          <a:off x="38100" y="114301"/>
          <a:ext cx="1495425" cy="5514973"/>
          <a:chOff x="38100" y="114301"/>
          <a:chExt cx="1495425" cy="528637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6CBF38B-7CAD-721A-C5AE-FE2C0D811A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114301"/>
            <a:ext cx="1495425" cy="933450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D1BA1ED-5595-3798-A0AD-AF04F87C4F44}"/>
              </a:ext>
            </a:extLst>
          </xdr:cNvPr>
          <xdr:cNvSpPr/>
        </xdr:nvSpPr>
        <xdr:spPr>
          <a:xfrm>
            <a:off x="133350" y="216217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Master Products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DF065EC-51C4-4544-A07C-C8CF529CF67D}"/>
              </a:ext>
            </a:extLst>
          </xdr:cNvPr>
          <xdr:cNvSpPr/>
        </xdr:nvSpPr>
        <xdr:spPr>
          <a:xfrm>
            <a:off x="133350" y="303847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Transactions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A9728BB-14C2-492D-BC06-84A18F215EED}"/>
              </a:ext>
            </a:extLst>
          </xdr:cNvPr>
          <xdr:cNvSpPr/>
        </xdr:nvSpPr>
        <xdr:spPr>
          <a:xfrm>
            <a:off x="133350" y="3867149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Inventory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94B1867-6226-461D-9FBE-662F6370B01C}"/>
              </a:ext>
            </a:extLst>
          </xdr:cNvPr>
          <xdr:cNvSpPr/>
        </xdr:nvSpPr>
        <xdr:spPr>
          <a:xfrm>
            <a:off x="133350" y="126682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Dashboard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67297CBA-96B6-45EE-9CAE-6C506DC205D0}"/>
              </a:ext>
            </a:extLst>
          </xdr:cNvPr>
          <xdr:cNvSpPr/>
        </xdr:nvSpPr>
        <xdr:spPr>
          <a:xfrm>
            <a:off x="133350" y="4705349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Pivot</a:t>
            </a:r>
            <a:r>
              <a:rPr lang="en-GB" sz="1200" baseline="0"/>
              <a:t> Table</a:t>
            </a:r>
            <a:endParaRPr lang="en-GB" sz="1200"/>
          </a:p>
        </xdr:txBody>
      </xdr:sp>
    </xdr:grpSp>
    <xdr:clientData/>
  </xdr:twoCellAnchor>
  <xdr:twoCellAnchor>
    <xdr:from>
      <xdr:col>4</xdr:col>
      <xdr:colOff>514350</xdr:colOff>
      <xdr:row>0</xdr:row>
      <xdr:rowOff>161925</xdr:rowOff>
    </xdr:from>
    <xdr:to>
      <xdr:col>8</xdr:col>
      <xdr:colOff>457200</xdr:colOff>
      <xdr:row>0</xdr:row>
      <xdr:rowOff>723900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A5D838F-D342-0D5E-EC57-391C9A477AEA}"/>
            </a:ext>
          </a:extLst>
        </xdr:cNvPr>
        <xdr:cNvSpPr txBox="1"/>
      </xdr:nvSpPr>
      <xdr:spPr>
        <a:xfrm>
          <a:off x="4171950" y="161925"/>
          <a:ext cx="4524375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>
              <a:solidFill>
                <a:schemeClr val="bg1"/>
              </a:solidFill>
              <a:latin typeface="Arial Black" panose="020B0A04020102020204" pitchFamily="34" charset="0"/>
            </a:rPr>
            <a:t> PRODUCT TABLE</a:t>
          </a:r>
          <a:r>
            <a:rPr lang="en-GB" sz="2400" baseline="0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endParaRPr lang="en-GB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85725</xdr:rowOff>
    </xdr:from>
    <xdr:to>
      <xdr:col>0</xdr:col>
      <xdr:colOff>1543050</xdr:colOff>
      <xdr:row>26</xdr:row>
      <xdr:rowOff>9523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4EE1BA2-B6AE-4187-9305-AE9BEA61B2B3}"/>
            </a:ext>
          </a:extLst>
        </xdr:cNvPr>
        <xdr:cNvGrpSpPr/>
      </xdr:nvGrpSpPr>
      <xdr:grpSpPr>
        <a:xfrm>
          <a:off x="47625" y="85725"/>
          <a:ext cx="1495425" cy="5514973"/>
          <a:chOff x="38100" y="114301"/>
          <a:chExt cx="1495425" cy="5286373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FFF6A6DD-4DD1-40A9-D3C3-4E1E943372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114301"/>
            <a:ext cx="1495425" cy="933450"/>
          </a:xfrm>
          <a:prstGeom prst="rect">
            <a:avLst/>
          </a:prstGeom>
        </xdr:spPr>
      </xdr:pic>
      <xdr:sp macro="" textlink="">
        <xdr:nvSpPr>
          <xdr:cNvPr id="25" name="Rectangle: Rounded Corners 2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7B400BC-BB0A-45CC-CEA5-EBB94F261175}"/>
              </a:ext>
            </a:extLst>
          </xdr:cNvPr>
          <xdr:cNvSpPr/>
        </xdr:nvSpPr>
        <xdr:spPr>
          <a:xfrm>
            <a:off x="133350" y="216217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Master Products</a:t>
            </a:r>
          </a:p>
        </xdr:txBody>
      </xdr:sp>
      <xdr:sp macro="" textlink="">
        <xdr:nvSpPr>
          <xdr:cNvPr id="26" name="Rectangle: Rounded Corners 2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F6C4AB1-47A9-74AF-76A1-D5C6B0E87E84}"/>
              </a:ext>
            </a:extLst>
          </xdr:cNvPr>
          <xdr:cNvSpPr/>
        </xdr:nvSpPr>
        <xdr:spPr>
          <a:xfrm>
            <a:off x="133350" y="303847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Transactions</a:t>
            </a:r>
          </a:p>
        </xdr:txBody>
      </xdr:sp>
      <xdr:sp macro="" textlink="">
        <xdr:nvSpPr>
          <xdr:cNvPr id="27" name="Rectangle: Rounded Corners 2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B86162E-3AB2-3363-3C1C-B795B4A9DB47}"/>
              </a:ext>
            </a:extLst>
          </xdr:cNvPr>
          <xdr:cNvSpPr/>
        </xdr:nvSpPr>
        <xdr:spPr>
          <a:xfrm>
            <a:off x="133350" y="3867149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Inventory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4B4A3C9-EDD6-655B-204B-736A76F1CD87}"/>
              </a:ext>
            </a:extLst>
          </xdr:cNvPr>
          <xdr:cNvSpPr/>
        </xdr:nvSpPr>
        <xdr:spPr>
          <a:xfrm>
            <a:off x="133350" y="126682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Dashboard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CEA23EE-F84D-8B8C-9DD6-D6F2FFBC4607}"/>
              </a:ext>
            </a:extLst>
          </xdr:cNvPr>
          <xdr:cNvSpPr/>
        </xdr:nvSpPr>
        <xdr:spPr>
          <a:xfrm>
            <a:off x="133350" y="4705349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Pivot</a:t>
            </a:r>
            <a:r>
              <a:rPr lang="en-GB" sz="1200" baseline="0"/>
              <a:t> Table</a:t>
            </a:r>
            <a:endParaRPr lang="en-GB" sz="1200"/>
          </a:p>
        </xdr:txBody>
      </xdr:sp>
    </xdr:grpSp>
    <xdr:clientData/>
  </xdr:twoCellAnchor>
  <xdr:twoCellAnchor>
    <xdr:from>
      <xdr:col>4</xdr:col>
      <xdr:colOff>285750</xdr:colOff>
      <xdr:row>0</xdr:row>
      <xdr:rowOff>219075</xdr:rowOff>
    </xdr:from>
    <xdr:to>
      <xdr:col>8</xdr:col>
      <xdr:colOff>790575</xdr:colOff>
      <xdr:row>1</xdr:row>
      <xdr:rowOff>47625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6E67BE7-6257-0B19-3C4D-28C8AC49A761}"/>
            </a:ext>
          </a:extLst>
        </xdr:cNvPr>
        <xdr:cNvSpPr txBox="1"/>
      </xdr:nvSpPr>
      <xdr:spPr>
        <a:xfrm>
          <a:off x="4410075" y="219075"/>
          <a:ext cx="423862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>
              <a:solidFill>
                <a:schemeClr val="bg1"/>
              </a:solidFill>
              <a:latin typeface="Arial Black" panose="020B0A04020102020204" pitchFamily="34" charset="0"/>
            </a:rPr>
            <a:t>TRANSACTIONS</a:t>
          </a:r>
          <a:r>
            <a:rPr lang="en-GB" sz="2400" baseline="0">
              <a:solidFill>
                <a:schemeClr val="bg1"/>
              </a:solidFill>
              <a:latin typeface="Arial Black" panose="020B0A04020102020204" pitchFamily="34" charset="0"/>
            </a:rPr>
            <a:t> TABLE</a:t>
          </a:r>
          <a:endParaRPr lang="en-GB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152399</xdr:rowOff>
    </xdr:from>
    <xdr:to>
      <xdr:col>0</xdr:col>
      <xdr:colOff>1838325</xdr:colOff>
      <xdr:row>27</xdr:row>
      <xdr:rowOff>66674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F4A5FA70-A9D3-4B75-8584-676C2FB6ABCB}"/>
            </a:ext>
          </a:extLst>
        </xdr:cNvPr>
        <xdr:cNvGrpSpPr/>
      </xdr:nvGrpSpPr>
      <xdr:grpSpPr>
        <a:xfrm>
          <a:off x="57150" y="152399"/>
          <a:ext cx="1781175" cy="5057775"/>
          <a:chOff x="38100" y="114301"/>
          <a:chExt cx="1495425" cy="5286373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68A150ED-F5D7-2238-690D-A0B66B947C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114301"/>
            <a:ext cx="1495425" cy="933450"/>
          </a:xfrm>
          <a:prstGeom prst="rect">
            <a:avLst/>
          </a:prstGeom>
        </xdr:spPr>
      </xdr:pic>
      <xdr:sp macro="" textlink="">
        <xdr:nvSpPr>
          <xdr:cNvPr id="15" name="Rectangle: Rounded Corners 1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47CE048-0326-DF4E-E5B0-6AC02DB4D3F7}"/>
              </a:ext>
            </a:extLst>
          </xdr:cNvPr>
          <xdr:cNvSpPr/>
        </xdr:nvSpPr>
        <xdr:spPr>
          <a:xfrm>
            <a:off x="133349" y="216217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Master Products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306949A-1B14-6FAA-2846-66A47660557E}"/>
              </a:ext>
            </a:extLst>
          </xdr:cNvPr>
          <xdr:cNvSpPr/>
        </xdr:nvSpPr>
        <xdr:spPr>
          <a:xfrm>
            <a:off x="133349" y="303847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Transactions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2FFDB58-6C51-197F-4588-C54EE27E887C}"/>
              </a:ext>
            </a:extLst>
          </xdr:cNvPr>
          <xdr:cNvSpPr/>
        </xdr:nvSpPr>
        <xdr:spPr>
          <a:xfrm>
            <a:off x="133349" y="3867149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Inventory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D8F68C8-B138-0033-2033-82D2B7A1232F}"/>
              </a:ext>
            </a:extLst>
          </xdr:cNvPr>
          <xdr:cNvSpPr/>
        </xdr:nvSpPr>
        <xdr:spPr>
          <a:xfrm>
            <a:off x="133349" y="126682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Dashboard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21079DD5-EC0C-4CDD-B656-D0A924D2C5F0}"/>
              </a:ext>
            </a:extLst>
          </xdr:cNvPr>
          <xdr:cNvSpPr/>
        </xdr:nvSpPr>
        <xdr:spPr>
          <a:xfrm>
            <a:off x="133349" y="4705349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200"/>
          </a:p>
          <a:p>
            <a:pPr algn="ctr"/>
            <a:r>
              <a:rPr lang="en-GB" sz="1200"/>
              <a:t>Pivot</a:t>
            </a:r>
            <a:r>
              <a:rPr lang="en-GB" sz="1200" baseline="0"/>
              <a:t> Table</a:t>
            </a:r>
            <a:endParaRPr lang="en-GB" sz="12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482557</xdr:colOff>
      <xdr:row>9</xdr:row>
      <xdr:rowOff>177798</xdr:rowOff>
    </xdr:from>
    <xdr:to>
      <xdr:col>12</xdr:col>
      <xdr:colOff>268653</xdr:colOff>
      <xdr:row>35</xdr:row>
      <xdr:rowOff>126791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2D507DC-5670-40F0-90B8-5C51BFB5C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284993</xdr:colOff>
      <xdr:row>8</xdr:row>
      <xdr:rowOff>79664</xdr:rowOff>
    </xdr:from>
    <xdr:to>
      <xdr:col>16</xdr:col>
      <xdr:colOff>398318</xdr:colOff>
      <xdr:row>37</xdr:row>
      <xdr:rowOff>88457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4083921-FB5D-AFDA-5A76-F3D944EA45DC}"/>
            </a:ext>
          </a:extLst>
        </xdr:cNvPr>
        <xdr:cNvGrpSpPr/>
      </xdr:nvGrpSpPr>
      <xdr:grpSpPr>
        <a:xfrm>
          <a:off x="3383972" y="1582199"/>
          <a:ext cx="9168783" cy="5455483"/>
          <a:chOff x="2007576" y="1515209"/>
          <a:chExt cx="10451124" cy="5732584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224246D9-6E67-C792-D267-C13BFB9FBB9A}"/>
              </a:ext>
            </a:extLst>
          </xdr:cNvPr>
          <xdr:cNvSpPr/>
        </xdr:nvSpPr>
        <xdr:spPr>
          <a:xfrm>
            <a:off x="2007576" y="1515209"/>
            <a:ext cx="10451124" cy="5732584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E3C2757-54E4-4255-A865-1C5E7C186178}"/>
              </a:ext>
            </a:extLst>
          </xdr:cNvPr>
          <xdr:cNvGraphicFramePr>
            <a:graphicFrameLocks/>
          </xdr:cNvGraphicFramePr>
        </xdr:nvGraphicFramePr>
        <xdr:xfrm>
          <a:off x="2248877" y="1896208"/>
          <a:ext cx="9981223" cy="49236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16</xdr:col>
      <xdr:colOff>525318</xdr:colOff>
      <xdr:row>8</xdr:row>
      <xdr:rowOff>26664</xdr:rowOff>
    </xdr:from>
    <xdr:to>
      <xdr:col>28</xdr:col>
      <xdr:colOff>8082</xdr:colOff>
      <xdr:row>37</xdr:row>
      <xdr:rowOff>79664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73644E9-EF7C-1B37-5A5D-1021F66F5B8D}"/>
            </a:ext>
          </a:extLst>
        </xdr:cNvPr>
        <xdr:cNvGrpSpPr/>
      </xdr:nvGrpSpPr>
      <xdr:grpSpPr>
        <a:xfrm>
          <a:off x="12679755" y="1529199"/>
          <a:ext cx="6727130" cy="5499690"/>
          <a:chOff x="11417300" y="1648800"/>
          <a:chExt cx="6794500" cy="5577500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1E9AC7E3-5D8E-46A3-AD2C-21CC4E68ABD4}"/>
              </a:ext>
            </a:extLst>
          </xdr:cNvPr>
          <xdr:cNvSpPr/>
        </xdr:nvSpPr>
        <xdr:spPr>
          <a:xfrm>
            <a:off x="11417300" y="1648800"/>
            <a:ext cx="6794500" cy="5577500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4B879A09-19C9-4AAA-85A3-B858D75B0826}"/>
              </a:ext>
            </a:extLst>
          </xdr:cNvPr>
          <xdr:cNvGraphicFramePr>
            <a:graphicFrameLocks/>
          </xdr:cNvGraphicFramePr>
        </xdr:nvGraphicFramePr>
        <xdr:xfrm>
          <a:off x="11709400" y="2156800"/>
          <a:ext cx="6337300" cy="4802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204564</xdr:colOff>
      <xdr:row>38</xdr:row>
      <xdr:rowOff>52582</xdr:rowOff>
    </xdr:from>
    <xdr:to>
      <xdr:col>14</xdr:col>
      <xdr:colOff>525318</xdr:colOff>
      <xdr:row>65</xdr:row>
      <xdr:rowOff>143164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649D589-FB2F-8EDF-5709-867961071833}"/>
            </a:ext>
          </a:extLst>
        </xdr:cNvPr>
        <xdr:cNvGrpSpPr/>
      </xdr:nvGrpSpPr>
      <xdr:grpSpPr>
        <a:xfrm>
          <a:off x="3303543" y="7189624"/>
          <a:ext cx="8168817" cy="5161639"/>
          <a:chOff x="2139583" y="7326218"/>
          <a:chExt cx="8249017" cy="5234082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B29FAB4B-5873-86D2-AE94-3CA8BD16EE23}"/>
              </a:ext>
            </a:extLst>
          </xdr:cNvPr>
          <xdr:cNvSpPr/>
        </xdr:nvSpPr>
        <xdr:spPr>
          <a:xfrm>
            <a:off x="2139583" y="7326218"/>
            <a:ext cx="8249017" cy="5234082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1BC4296D-A3F6-44B8-92E2-79EB469202FB}"/>
              </a:ext>
            </a:extLst>
          </xdr:cNvPr>
          <xdr:cNvGraphicFramePr>
            <a:graphicFrameLocks/>
          </xdr:cNvGraphicFramePr>
        </xdr:nvGraphicFramePr>
        <xdr:xfrm>
          <a:off x="2260600" y="7542118"/>
          <a:ext cx="8026400" cy="47641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15</xdr:col>
      <xdr:colOff>64864</xdr:colOff>
      <xdr:row>38</xdr:row>
      <xdr:rowOff>27182</xdr:rowOff>
    </xdr:from>
    <xdr:to>
      <xdr:col>28</xdr:col>
      <xdr:colOff>135082</xdr:colOff>
      <xdr:row>65</xdr:row>
      <xdr:rowOff>155864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A574687-71E2-CA14-CF55-093767223DC1}"/>
            </a:ext>
          </a:extLst>
        </xdr:cNvPr>
        <xdr:cNvGrpSpPr/>
      </xdr:nvGrpSpPr>
      <xdr:grpSpPr>
        <a:xfrm>
          <a:off x="11615603" y="7164224"/>
          <a:ext cx="7918282" cy="5199739"/>
          <a:chOff x="10648583" y="7338918"/>
          <a:chExt cx="7702917" cy="4992781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8DF596F1-0E1A-4364-A8C1-99AFBD7CEBA2}"/>
              </a:ext>
            </a:extLst>
          </xdr:cNvPr>
          <xdr:cNvSpPr/>
        </xdr:nvSpPr>
        <xdr:spPr>
          <a:xfrm>
            <a:off x="10648583" y="7338918"/>
            <a:ext cx="7702917" cy="4992781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88C3A3E8-20E5-407F-8DF9-E49C28077BD0}"/>
              </a:ext>
            </a:extLst>
          </xdr:cNvPr>
          <xdr:cNvGraphicFramePr>
            <a:graphicFrameLocks/>
          </xdr:cNvGraphicFramePr>
        </xdr:nvGraphicFramePr>
        <xdr:xfrm>
          <a:off x="10833100" y="7592918"/>
          <a:ext cx="7366000" cy="44466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2</xdr:col>
      <xdr:colOff>175274</xdr:colOff>
      <xdr:row>0</xdr:row>
      <xdr:rowOff>189358</xdr:rowOff>
    </xdr:from>
    <xdr:to>
      <xdr:col>6</xdr:col>
      <xdr:colOff>245918</xdr:colOff>
      <xdr:row>8</xdr:row>
      <xdr:rowOff>16164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C0D9C422-FD68-2BEA-D14E-F50B8B6C4AE1}"/>
            </a:ext>
          </a:extLst>
        </xdr:cNvPr>
        <xdr:cNvGrpSpPr/>
      </xdr:nvGrpSpPr>
      <xdr:grpSpPr>
        <a:xfrm>
          <a:off x="3877950" y="189358"/>
          <a:ext cx="2485433" cy="1329341"/>
          <a:chOff x="4885820" y="223994"/>
          <a:chExt cx="2495189" cy="1350806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B3F50010-6347-B63C-3ABB-9DDF22942768}"/>
              </a:ext>
            </a:extLst>
          </xdr:cNvPr>
          <xdr:cNvGrpSpPr/>
        </xdr:nvGrpSpPr>
        <xdr:grpSpPr>
          <a:xfrm>
            <a:off x="4885820" y="223994"/>
            <a:ext cx="2346253" cy="1274606"/>
            <a:chOff x="2427793" y="338294"/>
            <a:chExt cx="2220999" cy="1092410"/>
          </a:xfrm>
        </xdr:grpSpPr>
        <xdr:sp macro="" textlink="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5274D5F6-F541-4EFB-BEE5-7B885497AC0E}"/>
                </a:ext>
              </a:extLst>
            </xdr:cNvPr>
            <xdr:cNvSpPr/>
          </xdr:nvSpPr>
          <xdr:spPr>
            <a:xfrm>
              <a:off x="2427793" y="338294"/>
              <a:ext cx="2220999" cy="1092410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A159C3FE-19EC-DF18-08B9-03F48CA5C1E0}"/>
                </a:ext>
              </a:extLst>
            </xdr:cNvPr>
            <xdr:cNvSpPr txBox="1"/>
          </xdr:nvSpPr>
          <xdr:spPr>
            <a:xfrm>
              <a:off x="2590800" y="478203"/>
              <a:ext cx="1926493" cy="5470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500" b="1">
                  <a:ln>
                    <a:noFill/>
                  </a:ln>
                  <a:solidFill>
                    <a:schemeClr val="tx2"/>
                  </a:solidFill>
                </a:rPr>
                <a:t>CURRENT</a:t>
              </a:r>
              <a:r>
                <a:rPr lang="en-GB" sz="1500" b="1">
                  <a:solidFill>
                    <a:schemeClr val="tx2"/>
                  </a:solidFill>
                </a:rPr>
                <a:t> STOCK</a:t>
              </a:r>
            </a:p>
          </xdr:txBody>
        </xdr:sp>
      </xdr:grpSp>
      <xdr:sp macro="" textlink="'Pivot Table'!$G$12">
        <xdr:nvSpPr>
          <xdr:cNvPr id="37" name="TextBox 36">
            <a:extLst>
              <a:ext uri="{FF2B5EF4-FFF2-40B4-BE49-F238E27FC236}">
                <a16:creationId xmlns:a16="http://schemas.microsoft.com/office/drawing/2014/main" id="{45F71B0B-1C86-FBC4-A14A-B9CFDB4A7997}"/>
              </a:ext>
            </a:extLst>
          </xdr:cNvPr>
          <xdr:cNvSpPr txBox="1"/>
        </xdr:nvSpPr>
        <xdr:spPr>
          <a:xfrm>
            <a:off x="5549900" y="876300"/>
            <a:ext cx="1831109" cy="698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EB84889-2E5B-4D18-B270-4842E91D7222}" type="TxLink">
              <a:rPr lang="en-US" sz="2400" b="1" i="0" u="none" strike="noStrike">
                <a:solidFill>
                  <a:schemeClr val="tx2"/>
                </a:solidFill>
                <a:latin typeface="Aptos Narrow"/>
              </a:rPr>
              <a:pPr/>
              <a:t>4899</a:t>
            </a:fld>
            <a:endParaRPr lang="en-GB" sz="24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6</xdr:col>
      <xdr:colOff>172834</xdr:colOff>
      <xdr:row>0</xdr:row>
      <xdr:rowOff>169818</xdr:rowOff>
    </xdr:from>
    <xdr:to>
      <xdr:col>10</xdr:col>
      <xdr:colOff>96981</xdr:colOff>
      <xdr:row>7</xdr:row>
      <xdr:rowOff>169818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9FC59280-2F53-0683-C16F-CBBEC9166209}"/>
            </a:ext>
          </a:extLst>
        </xdr:cNvPr>
        <xdr:cNvGrpSpPr/>
      </xdr:nvGrpSpPr>
      <xdr:grpSpPr>
        <a:xfrm>
          <a:off x="6290299" y="169818"/>
          <a:ext cx="2338936" cy="1314718"/>
          <a:chOff x="7307925" y="204454"/>
          <a:chExt cx="2348693" cy="1333500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F6263141-ABD5-C3D0-9775-CF245F929203}"/>
              </a:ext>
            </a:extLst>
          </xdr:cNvPr>
          <xdr:cNvGrpSpPr/>
        </xdr:nvGrpSpPr>
        <xdr:grpSpPr>
          <a:xfrm>
            <a:off x="7307925" y="204454"/>
            <a:ext cx="2348693" cy="1281445"/>
            <a:chOff x="4762152" y="344155"/>
            <a:chExt cx="2220998" cy="1092410"/>
          </a:xfrm>
        </xdr:grpSpPr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1B711CA8-1625-4B6A-96EB-51BFF0209363}"/>
                </a:ext>
              </a:extLst>
            </xdr:cNvPr>
            <xdr:cNvSpPr/>
          </xdr:nvSpPr>
          <xdr:spPr>
            <a:xfrm>
              <a:off x="4762152" y="344155"/>
              <a:ext cx="2220998" cy="1092410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D86F1681-E249-8B14-15E4-C01F5210FA00}"/>
                </a:ext>
              </a:extLst>
            </xdr:cNvPr>
            <xdr:cNvSpPr txBox="1"/>
          </xdr:nvSpPr>
          <xdr:spPr>
            <a:xfrm>
              <a:off x="4908062" y="478204"/>
              <a:ext cx="1926492" cy="5470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500" b="1">
                  <a:solidFill>
                    <a:schemeClr val="tx2"/>
                  </a:solidFill>
                </a:rPr>
                <a:t>INVENTORY</a:t>
              </a:r>
              <a:r>
                <a:rPr lang="en-GB" sz="1500" b="1" baseline="0">
                  <a:solidFill>
                    <a:schemeClr val="tx2"/>
                  </a:solidFill>
                </a:rPr>
                <a:t> VALUE</a:t>
              </a:r>
              <a:endParaRPr lang="en-GB" sz="1500" b="1">
                <a:solidFill>
                  <a:schemeClr val="tx2"/>
                </a:solidFill>
              </a:endParaRPr>
            </a:p>
          </xdr:txBody>
        </xdr:sp>
      </xdr:grpSp>
      <xdr:sp macro="" textlink="'Pivot Table'!$D$26">
        <xdr:nvSpPr>
          <xdr:cNvPr id="38" name="TextBox 37">
            <a:extLst>
              <a:ext uri="{FF2B5EF4-FFF2-40B4-BE49-F238E27FC236}">
                <a16:creationId xmlns:a16="http://schemas.microsoft.com/office/drawing/2014/main" id="{4762A4B1-67C9-48CC-A945-295DBF97321B}"/>
              </a:ext>
            </a:extLst>
          </xdr:cNvPr>
          <xdr:cNvSpPr txBox="1"/>
        </xdr:nvSpPr>
        <xdr:spPr>
          <a:xfrm>
            <a:off x="7723561" y="839454"/>
            <a:ext cx="1831109" cy="698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0030BC68-3899-4E08-A34F-FF6B7B2A4C0B}" type="TxLink">
              <a:rPr lang="en-US" sz="2400" b="1" i="0" u="none" strike="noStrike">
                <a:solidFill>
                  <a:schemeClr val="tx2"/>
                </a:solidFill>
                <a:latin typeface="Aptos Narrow"/>
              </a:rPr>
              <a:pPr/>
              <a:t>704,650.00</a:t>
            </a:fld>
            <a:endParaRPr lang="en-GB" sz="24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10</xdr:col>
      <xdr:colOff>183089</xdr:colOff>
      <xdr:row>0</xdr:row>
      <xdr:rowOff>177146</xdr:rowOff>
    </xdr:from>
    <xdr:to>
      <xdr:col>14</xdr:col>
      <xdr:colOff>306626</xdr:colOff>
      <xdr:row>7</xdr:row>
      <xdr:rowOff>164446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BC59731A-BFC1-FC3A-2DD2-AD5308754D6F}"/>
            </a:ext>
          </a:extLst>
        </xdr:cNvPr>
        <xdr:cNvGrpSpPr/>
      </xdr:nvGrpSpPr>
      <xdr:grpSpPr>
        <a:xfrm>
          <a:off x="8715343" y="177146"/>
          <a:ext cx="2538325" cy="1302018"/>
          <a:chOff x="9742726" y="211782"/>
          <a:chExt cx="2548082" cy="1320800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2DC078AE-3E57-FFFE-D603-2F9FC6D8FC06}"/>
              </a:ext>
            </a:extLst>
          </xdr:cNvPr>
          <xdr:cNvGrpSpPr/>
        </xdr:nvGrpSpPr>
        <xdr:grpSpPr>
          <a:xfrm>
            <a:off x="9742726" y="211782"/>
            <a:ext cx="2338437" cy="1286818"/>
            <a:chOff x="7096509" y="313382"/>
            <a:chExt cx="2220998" cy="1092410"/>
          </a:xfrm>
        </xdr:grpSpPr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21343EE6-6430-477F-B829-870BCBE58A70}"/>
                </a:ext>
              </a:extLst>
            </xdr:cNvPr>
            <xdr:cNvSpPr/>
          </xdr:nvSpPr>
          <xdr:spPr>
            <a:xfrm>
              <a:off x="7096509" y="313382"/>
              <a:ext cx="2220998" cy="1092410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BA4EA84-1E86-97F4-A4F1-237AE393851E}"/>
                </a:ext>
              </a:extLst>
            </xdr:cNvPr>
            <xdr:cNvSpPr txBox="1"/>
          </xdr:nvSpPr>
          <xdr:spPr>
            <a:xfrm>
              <a:off x="7248769" y="453780"/>
              <a:ext cx="1926492" cy="5470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500" b="1">
                  <a:solidFill>
                    <a:schemeClr val="tx2"/>
                  </a:solidFill>
                </a:rPr>
                <a:t>RECEIVED</a:t>
              </a:r>
              <a:r>
                <a:rPr lang="en-GB" sz="1500" b="1" baseline="0">
                  <a:solidFill>
                    <a:schemeClr val="tx2"/>
                  </a:solidFill>
                </a:rPr>
                <a:t> </a:t>
              </a:r>
              <a:endParaRPr lang="en-GB" sz="1500" b="1">
                <a:solidFill>
                  <a:schemeClr val="tx2"/>
                </a:solidFill>
              </a:endParaRPr>
            </a:p>
          </xdr:txBody>
        </xdr:sp>
      </xdr:grpSp>
      <xdr:sp macro="" textlink="'Pivot Table'!$D$13">
        <xdr:nvSpPr>
          <xdr:cNvPr id="44" name="TextBox 43">
            <a:extLst>
              <a:ext uri="{FF2B5EF4-FFF2-40B4-BE49-F238E27FC236}">
                <a16:creationId xmlns:a16="http://schemas.microsoft.com/office/drawing/2014/main" id="{4F1997E1-CFBF-45A5-A84D-025915C71E0E}"/>
              </a:ext>
            </a:extLst>
          </xdr:cNvPr>
          <xdr:cNvSpPr txBox="1"/>
        </xdr:nvSpPr>
        <xdr:spPr>
          <a:xfrm>
            <a:off x="10459699" y="834082"/>
            <a:ext cx="1831109" cy="698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A82AE4C-A5CA-4DB8-A39E-2A85230C8083}" type="TxLink">
              <a:rPr lang="en-US" sz="2400" b="1" i="0" u="none" strike="noStrike">
                <a:solidFill>
                  <a:schemeClr val="tx2"/>
                </a:solidFill>
                <a:latin typeface="Aptos Narrow"/>
              </a:rPr>
              <a:pPr/>
              <a:t>3020</a:t>
            </a:fld>
            <a:endParaRPr lang="en-GB" sz="24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14</xdr:col>
      <xdr:colOff>215773</xdr:colOff>
      <xdr:row>0</xdr:row>
      <xdr:rowOff>170306</xdr:rowOff>
    </xdr:from>
    <xdr:to>
      <xdr:col>18</xdr:col>
      <xdr:colOff>317372</xdr:colOff>
      <xdr:row>7</xdr:row>
      <xdr:rowOff>132206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23B3EA75-6030-894A-F22F-FA9F4BE374C6}"/>
            </a:ext>
          </a:extLst>
        </xdr:cNvPr>
        <xdr:cNvGrpSpPr/>
      </xdr:nvGrpSpPr>
      <xdr:grpSpPr>
        <a:xfrm>
          <a:off x="11162815" y="170306"/>
          <a:ext cx="2516388" cy="1276618"/>
          <a:chOff x="12199955" y="204942"/>
          <a:chExt cx="2526145" cy="129540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ED175E22-CCF4-B4D0-A5E3-C98D1947F1DC}"/>
              </a:ext>
            </a:extLst>
          </xdr:cNvPr>
          <xdr:cNvGrpSpPr/>
        </xdr:nvGrpSpPr>
        <xdr:grpSpPr>
          <a:xfrm>
            <a:off x="12199955" y="204942"/>
            <a:ext cx="2416590" cy="1280957"/>
            <a:chOff x="9418655" y="319243"/>
            <a:chExt cx="2221975" cy="1092410"/>
          </a:xfrm>
        </xdr:grpSpPr>
        <xdr:sp macro="" textlink="">
          <xdr:nvSpPr>
            <xdr:cNvPr id="23" name="Rectangle: Rounded Corners 22">
              <a:extLst>
                <a:ext uri="{FF2B5EF4-FFF2-40B4-BE49-F238E27FC236}">
                  <a16:creationId xmlns:a16="http://schemas.microsoft.com/office/drawing/2014/main" id="{9311212F-533B-4582-A2D3-C224419834D1}"/>
                </a:ext>
              </a:extLst>
            </xdr:cNvPr>
            <xdr:cNvSpPr/>
          </xdr:nvSpPr>
          <xdr:spPr>
            <a:xfrm>
              <a:off x="9418655" y="319243"/>
              <a:ext cx="2221975" cy="1092410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ABAD2B0-0EA6-A293-7FE4-239BB0F8C524}"/>
                </a:ext>
              </a:extLst>
            </xdr:cNvPr>
            <xdr:cNvSpPr txBox="1"/>
          </xdr:nvSpPr>
          <xdr:spPr>
            <a:xfrm>
              <a:off x="9552842" y="441569"/>
              <a:ext cx="1926492" cy="5470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500" b="1">
                  <a:solidFill>
                    <a:schemeClr val="tx2"/>
                  </a:solidFill>
                </a:rPr>
                <a:t>DISPATCHED</a:t>
              </a:r>
            </a:p>
          </xdr:txBody>
        </xdr:sp>
      </xdr:grpSp>
      <xdr:sp macro="" textlink="'Pivot Table'!$J$12">
        <xdr:nvSpPr>
          <xdr:cNvPr id="45" name="TextBox 44">
            <a:extLst>
              <a:ext uri="{FF2B5EF4-FFF2-40B4-BE49-F238E27FC236}">
                <a16:creationId xmlns:a16="http://schemas.microsoft.com/office/drawing/2014/main" id="{8B2FD979-D72F-4AD1-88B3-B311235EB911}"/>
              </a:ext>
            </a:extLst>
          </xdr:cNvPr>
          <xdr:cNvSpPr txBox="1"/>
        </xdr:nvSpPr>
        <xdr:spPr>
          <a:xfrm>
            <a:off x="12894991" y="801842"/>
            <a:ext cx="1831109" cy="698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4EC37BD-EC08-4652-9928-454249751537}" type="TxLink">
              <a:rPr lang="en-US" sz="2400" b="1" i="0" u="none" strike="noStrike">
                <a:solidFill>
                  <a:schemeClr val="tx2"/>
                </a:solidFill>
                <a:latin typeface="Aptos Narrow"/>
              </a:rPr>
              <a:pPr/>
              <a:t>3980</a:t>
            </a:fld>
            <a:endParaRPr lang="en-GB" sz="24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18</xdr:col>
      <xdr:colOff>327631</xdr:colOff>
      <xdr:row>0</xdr:row>
      <xdr:rowOff>175190</xdr:rowOff>
    </xdr:from>
    <xdr:to>
      <xdr:col>23</xdr:col>
      <xdr:colOff>127895</xdr:colOff>
      <xdr:row>7</xdr:row>
      <xdr:rowOff>117763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5AA24670-11F3-4164-8C09-86A07D423B0F}"/>
            </a:ext>
          </a:extLst>
        </xdr:cNvPr>
        <xdr:cNvGrpSpPr/>
      </xdr:nvGrpSpPr>
      <xdr:grpSpPr>
        <a:xfrm>
          <a:off x="13689462" y="175190"/>
          <a:ext cx="2818750" cy="1257291"/>
          <a:chOff x="14736359" y="209826"/>
          <a:chExt cx="2830946" cy="1276073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3204683E-9652-6F9C-C9AC-379A63D18F4A}"/>
              </a:ext>
            </a:extLst>
          </xdr:cNvPr>
          <xdr:cNvGrpSpPr/>
        </xdr:nvGrpSpPr>
        <xdr:grpSpPr>
          <a:xfrm>
            <a:off x="14736359" y="209826"/>
            <a:ext cx="2495232" cy="1276073"/>
            <a:chOff x="11753014" y="349527"/>
            <a:chExt cx="2221975" cy="1092410"/>
          </a:xfrm>
        </xdr:grpSpPr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E4E0BE8D-7CDD-4083-88E2-2E7A1E133E65}"/>
                </a:ext>
              </a:extLst>
            </xdr:cNvPr>
            <xdr:cNvSpPr/>
          </xdr:nvSpPr>
          <xdr:spPr>
            <a:xfrm>
              <a:off x="11753014" y="349527"/>
              <a:ext cx="2221975" cy="1092410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8145FE49-4161-7D67-A03A-05695152BC64}"/>
                </a:ext>
              </a:extLst>
            </xdr:cNvPr>
            <xdr:cNvSpPr txBox="1"/>
          </xdr:nvSpPr>
          <xdr:spPr>
            <a:xfrm>
              <a:off x="11893550" y="441570"/>
              <a:ext cx="1926492" cy="5470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400" b="1">
                  <a:solidFill>
                    <a:schemeClr val="tx2"/>
                  </a:solidFill>
                </a:rPr>
                <a:t>DAMAGED</a:t>
              </a:r>
            </a:p>
          </xdr:txBody>
        </xdr:sp>
      </xdr:grpSp>
      <xdr:sp macro="" textlink="'Pivot Table'!$G$27">
        <xdr:nvSpPr>
          <xdr:cNvPr id="46" name="TextBox 45">
            <a:extLst>
              <a:ext uri="{FF2B5EF4-FFF2-40B4-BE49-F238E27FC236}">
                <a16:creationId xmlns:a16="http://schemas.microsoft.com/office/drawing/2014/main" id="{4166A697-A6F3-4A7D-88C5-8DB0815E1D25}"/>
              </a:ext>
            </a:extLst>
          </xdr:cNvPr>
          <xdr:cNvSpPr txBox="1"/>
        </xdr:nvSpPr>
        <xdr:spPr>
          <a:xfrm>
            <a:off x="15736196" y="755926"/>
            <a:ext cx="1831109" cy="698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B76C01A-443D-42A1-9946-C991B12FDA37}" type="TxLink">
              <a:rPr lang="en-US" sz="2400" b="1" i="0" u="none" strike="noStrike">
                <a:solidFill>
                  <a:schemeClr val="tx2"/>
                </a:solidFill>
                <a:latin typeface="Aptos Narrow"/>
              </a:rPr>
              <a:pPr/>
              <a:t>41</a:t>
            </a:fld>
            <a:endParaRPr lang="en-GB" sz="24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22</xdr:col>
      <xdr:colOff>556232</xdr:colOff>
      <xdr:row>0</xdr:row>
      <xdr:rowOff>187890</xdr:rowOff>
    </xdr:from>
    <xdr:to>
      <xdr:col>27</xdr:col>
      <xdr:colOff>467332</xdr:colOff>
      <xdr:row>7</xdr:row>
      <xdr:rowOff>149790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708D6D25-A671-C8A4-0CB3-BFF169A11A29}"/>
            </a:ext>
          </a:extLst>
        </xdr:cNvPr>
        <xdr:cNvGrpSpPr/>
      </xdr:nvGrpSpPr>
      <xdr:grpSpPr>
        <a:xfrm>
          <a:off x="16332852" y="187890"/>
          <a:ext cx="2929586" cy="1276618"/>
          <a:chOff x="17389505" y="222526"/>
          <a:chExt cx="2941782" cy="1295400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0B8CDCB2-EA2B-4799-B634-D6B8C26D8488}"/>
              </a:ext>
            </a:extLst>
          </xdr:cNvPr>
          <xdr:cNvGrpSpPr/>
        </xdr:nvGrpSpPr>
        <xdr:grpSpPr>
          <a:xfrm>
            <a:off x="17389505" y="222526"/>
            <a:ext cx="2495231" cy="1276073"/>
            <a:chOff x="11753014" y="349527"/>
            <a:chExt cx="2221975" cy="1092410"/>
          </a:xfrm>
        </xdr:grpSpPr>
        <xdr:sp macro="" textlink="">
          <xdr:nvSpPr>
            <xdr:cNvPr id="35" name="Rectangle: Rounded Corners 34">
              <a:extLst>
                <a:ext uri="{FF2B5EF4-FFF2-40B4-BE49-F238E27FC236}">
                  <a16:creationId xmlns:a16="http://schemas.microsoft.com/office/drawing/2014/main" id="{3A8C7DAB-18AB-B6E1-D981-2468F3A85EAD}"/>
                </a:ext>
              </a:extLst>
            </xdr:cNvPr>
            <xdr:cNvSpPr/>
          </xdr:nvSpPr>
          <xdr:spPr>
            <a:xfrm>
              <a:off x="11753014" y="349527"/>
              <a:ext cx="2221975" cy="1092410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AF4B4EE-38FC-91D1-F1C1-CA8656F993FE}"/>
                </a:ext>
              </a:extLst>
            </xdr:cNvPr>
            <xdr:cNvSpPr txBox="1"/>
          </xdr:nvSpPr>
          <xdr:spPr>
            <a:xfrm>
              <a:off x="11893550" y="441570"/>
              <a:ext cx="1926492" cy="5470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400" b="1">
                  <a:solidFill>
                    <a:schemeClr val="tx2"/>
                  </a:solidFill>
                </a:rPr>
                <a:t>NO.</a:t>
              </a:r>
              <a:r>
                <a:rPr lang="en-GB" sz="1400" b="1" baseline="0">
                  <a:solidFill>
                    <a:schemeClr val="tx2"/>
                  </a:solidFill>
                </a:rPr>
                <a:t> OF CLIENTS</a:t>
              </a:r>
              <a:endParaRPr lang="en-GB" sz="1400" b="1">
                <a:solidFill>
                  <a:schemeClr val="tx2"/>
                </a:solidFill>
              </a:endParaRPr>
            </a:p>
          </xdr:txBody>
        </xdr:sp>
      </xdr:grpSp>
      <xdr:sp macro="" textlink="'Pivot Table'!$J$27">
        <xdr:nvSpPr>
          <xdr:cNvPr id="47" name="TextBox 46">
            <a:extLst>
              <a:ext uri="{FF2B5EF4-FFF2-40B4-BE49-F238E27FC236}">
                <a16:creationId xmlns:a16="http://schemas.microsoft.com/office/drawing/2014/main" id="{BB3F7EA4-ECEB-4506-A748-2A2630E45E56}"/>
              </a:ext>
            </a:extLst>
          </xdr:cNvPr>
          <xdr:cNvSpPr txBox="1"/>
        </xdr:nvSpPr>
        <xdr:spPr>
          <a:xfrm>
            <a:off x="18500178" y="819426"/>
            <a:ext cx="1831109" cy="698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F932CCE-7C14-4A50-B898-5BB3E21F92D2}" type="TxLink">
              <a:rPr lang="en-US" sz="2400" b="1" i="0" u="none" strike="noStrike">
                <a:solidFill>
                  <a:schemeClr val="tx2"/>
                </a:solidFill>
                <a:latin typeface="Aptos Narrow"/>
              </a:rPr>
              <a:pPr/>
              <a:t>8</a:t>
            </a:fld>
            <a:endParaRPr lang="en-GB" sz="24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0</xdr:col>
      <xdr:colOff>57150</xdr:colOff>
      <xdr:row>0</xdr:row>
      <xdr:rowOff>152398</xdr:rowOff>
    </xdr:from>
    <xdr:to>
      <xdr:col>0</xdr:col>
      <xdr:colOff>3035300</xdr:colOff>
      <xdr:row>43</xdr:row>
      <xdr:rowOff>53662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E283ECA0-7875-4419-BA53-1BA8592D4332}"/>
            </a:ext>
          </a:extLst>
        </xdr:cNvPr>
        <xdr:cNvGrpSpPr/>
      </xdr:nvGrpSpPr>
      <xdr:grpSpPr>
        <a:xfrm>
          <a:off x="57150" y="152398"/>
          <a:ext cx="2978150" cy="7977391"/>
          <a:chOff x="38100" y="114301"/>
          <a:chExt cx="1495425" cy="5286373"/>
        </a:xfrm>
      </xdr:grpSpPr>
      <xdr:pic>
        <xdr:nvPicPr>
          <xdr:cNvPr id="52" name="Picture 51">
            <a:extLst>
              <a:ext uri="{FF2B5EF4-FFF2-40B4-BE49-F238E27FC236}">
                <a16:creationId xmlns:a16="http://schemas.microsoft.com/office/drawing/2014/main" id="{5D9B149E-98A2-1034-1E4B-3E89F630CC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114301"/>
            <a:ext cx="1495425" cy="933450"/>
          </a:xfrm>
          <a:prstGeom prst="rect">
            <a:avLst/>
          </a:prstGeom>
        </xdr:spPr>
      </xdr:pic>
      <xdr:sp macro="" textlink="">
        <xdr:nvSpPr>
          <xdr:cNvPr id="53" name="Rectangle: Rounded Corners 52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5B5092A6-13F7-247B-6D32-98B00AE8CEF8}"/>
              </a:ext>
            </a:extLst>
          </xdr:cNvPr>
          <xdr:cNvSpPr/>
        </xdr:nvSpPr>
        <xdr:spPr>
          <a:xfrm>
            <a:off x="133349" y="216217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800"/>
          </a:p>
          <a:p>
            <a:pPr algn="ctr"/>
            <a:r>
              <a:rPr lang="en-GB" sz="1800"/>
              <a:t>Master Products</a:t>
            </a:r>
          </a:p>
        </xdr:txBody>
      </xdr:sp>
      <xdr:sp macro="" textlink="">
        <xdr:nvSpPr>
          <xdr:cNvPr id="54" name="Rectangle: Rounded Corners 5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22FA6BE-1668-481E-E823-55109FDBC82A}"/>
              </a:ext>
            </a:extLst>
          </xdr:cNvPr>
          <xdr:cNvSpPr/>
        </xdr:nvSpPr>
        <xdr:spPr>
          <a:xfrm>
            <a:off x="133349" y="303847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800"/>
          </a:p>
          <a:p>
            <a:pPr algn="ctr"/>
            <a:r>
              <a:rPr lang="en-GB" sz="1800"/>
              <a:t>Transactions</a:t>
            </a:r>
          </a:p>
        </xdr:txBody>
      </xdr:sp>
      <xdr:sp macro="" textlink="">
        <xdr:nvSpPr>
          <xdr:cNvPr id="55" name="Rectangle: Rounded Corners 54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3271834A-AF0B-7DE0-575F-22AD82875E17}"/>
              </a:ext>
            </a:extLst>
          </xdr:cNvPr>
          <xdr:cNvSpPr/>
        </xdr:nvSpPr>
        <xdr:spPr>
          <a:xfrm>
            <a:off x="133349" y="3867149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800"/>
          </a:p>
          <a:p>
            <a:pPr algn="ctr"/>
            <a:r>
              <a:rPr lang="en-GB" sz="1800"/>
              <a:t>Inventory</a:t>
            </a:r>
          </a:p>
        </xdr:txBody>
      </xdr:sp>
      <xdr:sp macro="" textlink="">
        <xdr:nvSpPr>
          <xdr:cNvPr id="56" name="Rectangle: Rounded Corners 55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4464E113-EC55-F130-3612-0439BB189BE2}"/>
              </a:ext>
            </a:extLst>
          </xdr:cNvPr>
          <xdr:cNvSpPr/>
        </xdr:nvSpPr>
        <xdr:spPr>
          <a:xfrm>
            <a:off x="133349" y="1266824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800"/>
          </a:p>
          <a:p>
            <a:pPr algn="ctr"/>
            <a:r>
              <a:rPr lang="en-GB" sz="1800"/>
              <a:t>Dashboard</a:t>
            </a:r>
          </a:p>
        </xdr:txBody>
      </xdr:sp>
      <xdr:sp macro="" textlink="">
        <xdr:nvSpPr>
          <xdr:cNvPr id="57" name="Rectangle: Rounded Corners 56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B1E040D8-B472-D731-A130-87C267C787E4}"/>
              </a:ext>
            </a:extLst>
          </xdr:cNvPr>
          <xdr:cNvSpPr/>
        </xdr:nvSpPr>
        <xdr:spPr>
          <a:xfrm>
            <a:off x="133349" y="4705349"/>
            <a:ext cx="1285875" cy="695325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GB" sz="1800"/>
          </a:p>
          <a:p>
            <a:pPr algn="ctr"/>
            <a:r>
              <a:rPr lang="en-GB" sz="1800"/>
              <a:t>Pivot</a:t>
            </a:r>
            <a:r>
              <a:rPr lang="en-GB" sz="1800" baseline="0"/>
              <a:t> Table</a:t>
            </a:r>
            <a:endParaRPr lang="en-GB" sz="1800"/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53.022596527779" backgroundQuery="1" createdVersion="8" refreshedVersion="8" minRefreshableVersion="3" recordCount="0" supportSubquery="1" supportAdvancedDrill="1" xr:uid="{2B1AA22E-AD0D-49E8-A8CF-05E2A075DA5D}">
  <cacheSource type="external" connectionId="1"/>
  <cacheFields count="2">
    <cacheField name="[Table3].[Client Name].[Client Name]" caption="Client Name" numFmtId="0" hierarchy="11" level="1">
      <sharedItems count="8">
        <s v="FanMilk Ghana"/>
        <s v="Jumia Express"/>
        <s v="Kasapreko Co Ltd"/>
        <s v="Melcom Wholesale"/>
        <s v="Nestle Ghana"/>
        <s v="PZ Cussons Ghana"/>
        <s v="Unilever Ghana"/>
        <s v="Vodafone Ghana"/>
      </sharedItems>
    </cacheField>
    <cacheField name="[Measures].[Distinct Count of Client Name]" caption="Distinct Count of Client Name" numFmtId="0" hierarchy="33" level="32767"/>
  </cacheFields>
  <cacheHierarchies count="34"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SKU_ID]" caption="SKU_ID" attribute="1" defaultMemberUniqueName="[Table2].[SKU_ID].[All]" allUniqueName="[Table2].[SKU_ID].[All]" dimensionUniqueName="[Table2]" displayFolder="" count="0" memberValueDatatype="130" unbalanced="0"/>
    <cacheHierarchy uniqueName="[Table2].[Client_ID]" caption="Client_ID" attribute="1" defaultMemberUniqueName="[Table2].[Client_ID].[All]" allUniqueName="[Table2].[Client_ID].[All]" dimensionUniqueName="[Table2]" displayFolder="" count="0" memberValueDatatype="130" unbalanced="0"/>
    <cacheHierarchy uniqueName="[Table2].[Transaction_Type]" caption="Transaction_Type" attribute="1" defaultMemberUniqueName="[Table2].[Transaction_Type].[All]" allUniqueName="[Table2].[Transaction_Type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Order_ID]" caption="Order_ID" attribute="1" defaultMemberUniqueName="[Table2].[Order_ID].[All]" allUniqueName="[Table2].[Order_ID].[All]" dimensionUniqueName="[Table2]" displayFolder="" count="0" memberValueDatatype="130" unbalanced="0"/>
    <cacheHierarchy uniqueName="[Table2].[Warehouse]" caption="Warehouse" attribute="1" defaultMemberUniqueName="[Table2].[Warehouse].[All]" allUniqueName="[Table2].[Warehouse].[All]" dimensionUniqueName="[Table2]" displayFolder="" count="0" memberValueDatatype="130" unbalanced="0"/>
    <cacheHierarchy uniqueName="[Table2].[Staff_ID]" caption="Staff_ID" attribute="1" defaultMemberUniqueName="[Table2].[Staff_ID].[All]" allUniqueName="[Table2].[Staff_ID].[All]" dimensionUniqueName="[Table2]" displayFolder="" count="0" memberValueDatatype="130" unbalanced="0"/>
    <cacheHierarchy uniqueName="[Table3].[SKU_ID]" caption="SKU_ID" attribute="1" defaultMemberUniqueName="[Table3].[SKU_ID].[All]" allUniqueName="[Table3].[SKU_ID].[All]" dimensionUniqueName="[Table3]" displayFolder="" count="0" memberValueDatatype="130" unbalanced="0"/>
    <cacheHierarchy uniqueName="[Table3].[Client_ID]" caption="Client_ID" attribute="1" defaultMemberUniqueName="[Table3].[Client_ID].[All]" allUniqueName="[Table3].[Client_ID].[All]" dimensionUniqueName="[Table3]" displayFolder="" count="0" memberValueDatatype="130" unbalanced="0"/>
    <cacheHierarchy uniqueName="[Table3].[Client Name]" caption="Client Name" attribute="1" defaultMemberUniqueName="[Table3].[Client Name].[All]" allUniqueName="[Table3].[Client 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Item Description]" caption="Item Description" attribute="1" defaultMemberUniqueName="[Table3].[Item Description].[All]" allUniqueName="[Table3].[Item Description].[All]" dimensionUniqueName="[Table3]" displayFolder="" count="0" memberValueDatatype="130" unbalanced="0"/>
    <cacheHierarchy uniqueName="[Table3].[Opening Stock]" caption="Opening Stock" attribute="1" defaultMemberUniqueName="[Table3].[Opening Stock].[All]" allUniqueName="[Table3].[Opening Stock].[All]" dimensionUniqueName="[Table3]" displayFolder="" count="0" memberValueDatatype="20" unbalanced="0"/>
    <cacheHierarchy uniqueName="[Table3].[Stock Received]" caption="Stock Received" attribute="1" defaultMemberUniqueName="[Table3].[Stock Received].[All]" allUniqueName="[Table3].[Stock Received].[All]" dimensionUniqueName="[Table3]" displayFolder="" count="0" memberValueDatatype="20" unbalanced="0"/>
    <cacheHierarchy uniqueName="[Table3].[Stock Dispatched]" caption="Stock Dispatched" attribute="1" defaultMemberUniqueName="[Table3].[Stock Dispatched].[All]" allUniqueName="[Table3].[Stock Dispatched].[All]" dimensionUniqueName="[Table3]" displayFolder="" count="0" memberValueDatatype="20" unbalanced="0"/>
    <cacheHierarchy uniqueName="[Table3].[Damaged]" caption="Damaged" attribute="1" defaultMemberUniqueName="[Table3].[Damaged].[All]" allUniqueName="[Table3].[Damaged].[All]" dimensionUniqueName="[Table3]" displayFolder="" count="0" memberValueDatatype="20" unbalanced="0"/>
    <cacheHierarchy uniqueName="[Table3].[Closing Stock]" caption="Closing Stock" attribute="1" defaultMemberUniqueName="[Table3].[Closing Stock].[All]" allUniqueName="[Table3].[Closing Stock].[All]" dimensionUniqueName="[Table3]" displayFolder="" count="0" memberValueDatatype="20" unbalanced="0"/>
    <cacheHierarchy uniqueName="[Table3].[Reorder Threshold]" caption="Reorder Threshold" attribute="1" defaultMemberUniqueName="[Table3].[Reorder Threshold].[All]" allUniqueName="[Table3].[Reorder Threshold].[All]" dimensionUniqueName="[Table3]" displayFolder="" count="0" memberValueDatatype="20" unbalanced="0"/>
    <cacheHierarchy uniqueName="[Table3].[Unit Cost (GHS)]" caption="Unit Cost (GHS)" attribute="1" defaultMemberUniqueName="[Table3].[Unit Cost (GHS)].[All]" allUniqueName="[Table3].[Unit Cost (GHS)].[All]" dimensionUniqueName="[Table3]" displayFolder="" count="0" memberValueDatatype="20" unbalanced="0"/>
    <cacheHierarchy uniqueName="[Table3].[Inventory Value (GHS)]" caption="Inventory Value (GHS)" attribute="1" defaultMemberUniqueName="[Table3].[Inventory Value (GHS)].[All]" allUniqueName="[Table3].[Inventory Value (GHS)].[All]" dimensionUniqueName="[Table3]" displayFolder="" count="0" memberValueDatatype="20" unbalanced="0"/>
    <cacheHierarchy uniqueName="[Table3].[Stock Status]" caption="Stock Status" attribute="1" defaultMemberUniqueName="[Table3].[Stock Status].[All]" allUniqueName="[Table3].[Stock Status].[All]" dimensionUniqueName="[Table3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Count of Transaction_Type]" caption="Count of Transaction_Typ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osing Stock]" caption="Sum of Closing Stock" measure="1" displayFolder="" measureGroup="Table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ock Dispatched]" caption="Sum of Stock Dispatched" measure="1" displayFolder="" measureGroup="Table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nventory Value (GHS)]" caption="Sum of Inventory Value (GHS)" measure="1" displayFolder="" measureGroup="Table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amaged]" caption="Sum of Damaged" measure="1" displayFolder="" measureGroup="Table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lient_ID]" caption="Count of Client_ID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lient Name]" caption="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lient Name]" caption="Distinct Count of Client Name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53.022598148149" backgroundQuery="1" createdVersion="8" refreshedVersion="8" minRefreshableVersion="3" recordCount="0" supportSubquery="1" supportAdvancedDrill="1" xr:uid="{E0AB5A6D-7CA1-41C1-987F-106275EEF3B2}">
  <cacheSource type="external" connectionId="1"/>
  <cacheFields count="2">
    <cacheField name="[Measures].[Sum of Damaged]" caption="Sum of Damaged" numFmtId="0" hierarchy="30" level="32767"/>
    <cacheField name="[Table3].[Client Name].[Client Name]" caption="Client Name" numFmtId="0" hierarchy="11" level="1">
      <sharedItems count="8">
        <s v="FanMilk Ghana"/>
        <s v="Jumia Express"/>
        <s v="Kasapreko Co Ltd"/>
        <s v="Melcom Wholesale"/>
        <s v="Nestle Ghana"/>
        <s v="PZ Cussons Ghana"/>
        <s v="Unilever Ghana"/>
        <s v="Vodafone Ghana"/>
      </sharedItems>
    </cacheField>
  </cacheFields>
  <cacheHierarchies count="34"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SKU_ID]" caption="SKU_ID" attribute="1" defaultMemberUniqueName="[Table2].[SKU_ID].[All]" allUniqueName="[Table2].[SKU_ID].[All]" dimensionUniqueName="[Table2]" displayFolder="" count="0" memberValueDatatype="130" unbalanced="0"/>
    <cacheHierarchy uniqueName="[Table2].[Client_ID]" caption="Client_ID" attribute="1" defaultMemberUniqueName="[Table2].[Client_ID].[All]" allUniqueName="[Table2].[Client_ID].[All]" dimensionUniqueName="[Table2]" displayFolder="" count="0" memberValueDatatype="130" unbalanced="0"/>
    <cacheHierarchy uniqueName="[Table2].[Transaction_Type]" caption="Transaction_Type" attribute="1" defaultMemberUniqueName="[Table2].[Transaction_Type].[All]" allUniqueName="[Table2].[Transaction_Type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Order_ID]" caption="Order_ID" attribute="1" defaultMemberUniqueName="[Table2].[Order_ID].[All]" allUniqueName="[Table2].[Order_ID].[All]" dimensionUniqueName="[Table2]" displayFolder="" count="0" memberValueDatatype="130" unbalanced="0"/>
    <cacheHierarchy uniqueName="[Table2].[Warehouse]" caption="Warehouse" attribute="1" defaultMemberUniqueName="[Table2].[Warehouse].[All]" allUniqueName="[Table2].[Warehouse].[All]" dimensionUniqueName="[Table2]" displayFolder="" count="0" memberValueDatatype="130" unbalanced="0"/>
    <cacheHierarchy uniqueName="[Table2].[Staff_ID]" caption="Staff_ID" attribute="1" defaultMemberUniqueName="[Table2].[Staff_ID].[All]" allUniqueName="[Table2].[Staff_ID].[All]" dimensionUniqueName="[Table2]" displayFolder="" count="0" memberValueDatatype="130" unbalanced="0"/>
    <cacheHierarchy uniqueName="[Table3].[SKU_ID]" caption="SKU_ID" attribute="1" defaultMemberUniqueName="[Table3].[SKU_ID].[All]" allUniqueName="[Table3].[SKU_ID].[All]" dimensionUniqueName="[Table3]" displayFolder="" count="0" memberValueDatatype="130" unbalanced="0"/>
    <cacheHierarchy uniqueName="[Table3].[Client_ID]" caption="Client_ID" attribute="1" defaultMemberUniqueName="[Table3].[Client_ID].[All]" allUniqueName="[Table3].[Client_ID].[All]" dimensionUniqueName="[Table3]" displayFolder="" count="0" memberValueDatatype="130" unbalanced="0"/>
    <cacheHierarchy uniqueName="[Table3].[Client Name]" caption="Client Name" attribute="1" defaultMemberUniqueName="[Table3].[Client Name].[All]" allUniqueName="[Table3].[Client Name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Item Description]" caption="Item Description" attribute="1" defaultMemberUniqueName="[Table3].[Item Description].[All]" allUniqueName="[Table3].[Item Description].[All]" dimensionUniqueName="[Table3]" displayFolder="" count="0" memberValueDatatype="130" unbalanced="0"/>
    <cacheHierarchy uniqueName="[Table3].[Opening Stock]" caption="Opening Stock" attribute="1" defaultMemberUniqueName="[Table3].[Opening Stock].[All]" allUniqueName="[Table3].[Opening Stock].[All]" dimensionUniqueName="[Table3]" displayFolder="" count="0" memberValueDatatype="20" unbalanced="0"/>
    <cacheHierarchy uniqueName="[Table3].[Stock Received]" caption="Stock Received" attribute="1" defaultMemberUniqueName="[Table3].[Stock Received].[All]" allUniqueName="[Table3].[Stock Received].[All]" dimensionUniqueName="[Table3]" displayFolder="" count="0" memberValueDatatype="20" unbalanced="0"/>
    <cacheHierarchy uniqueName="[Table3].[Stock Dispatched]" caption="Stock Dispatched" attribute="1" defaultMemberUniqueName="[Table3].[Stock Dispatched].[All]" allUniqueName="[Table3].[Stock Dispatched].[All]" dimensionUniqueName="[Table3]" displayFolder="" count="0" memberValueDatatype="20" unbalanced="0"/>
    <cacheHierarchy uniqueName="[Table3].[Damaged]" caption="Damaged" attribute="1" defaultMemberUniqueName="[Table3].[Damaged].[All]" allUniqueName="[Table3].[Damaged].[All]" dimensionUniqueName="[Table3]" displayFolder="" count="0" memberValueDatatype="20" unbalanced="0"/>
    <cacheHierarchy uniqueName="[Table3].[Closing Stock]" caption="Closing Stock" attribute="1" defaultMemberUniqueName="[Table3].[Closing Stock].[All]" allUniqueName="[Table3].[Closing Stock].[All]" dimensionUniqueName="[Table3]" displayFolder="" count="0" memberValueDatatype="20" unbalanced="0"/>
    <cacheHierarchy uniqueName="[Table3].[Reorder Threshold]" caption="Reorder Threshold" attribute="1" defaultMemberUniqueName="[Table3].[Reorder Threshold].[All]" allUniqueName="[Table3].[Reorder Threshold].[All]" dimensionUniqueName="[Table3]" displayFolder="" count="0" memberValueDatatype="20" unbalanced="0"/>
    <cacheHierarchy uniqueName="[Table3].[Unit Cost (GHS)]" caption="Unit Cost (GHS)" attribute="1" defaultMemberUniqueName="[Table3].[Unit Cost (GHS)].[All]" allUniqueName="[Table3].[Unit Cost (GHS)].[All]" dimensionUniqueName="[Table3]" displayFolder="" count="0" memberValueDatatype="20" unbalanced="0"/>
    <cacheHierarchy uniqueName="[Table3].[Inventory Value (GHS)]" caption="Inventory Value (GHS)" attribute="1" defaultMemberUniqueName="[Table3].[Inventory Value (GHS)].[All]" allUniqueName="[Table3].[Inventory Value (GHS)].[All]" dimensionUniqueName="[Table3]" displayFolder="" count="0" memberValueDatatype="20" unbalanced="0"/>
    <cacheHierarchy uniqueName="[Table3].[Stock Status]" caption="Stock Status" attribute="1" defaultMemberUniqueName="[Table3].[Stock Status].[All]" allUniqueName="[Table3].[Stock Status].[All]" dimensionUniqueName="[Table3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Count of Transaction_Type]" caption="Count of Transaction_Typ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osing Stock]" caption="Sum of Closing Stock" measure="1" displayFolder="" measureGroup="Table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ock Dispatched]" caption="Sum of Stock Dispatched" measure="1" displayFolder="" measureGroup="Table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nventory Value (GHS)]" caption="Sum of Inventory Value (GHS)" measure="1" displayFolder="" measureGroup="Table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amaged]" caption="Sum of Damaged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lient_ID]" caption="Count of Client_ID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lient Name]" caption="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lient Name]" caption="Distinct 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53.022599537035" backgroundQuery="1" createdVersion="8" refreshedVersion="8" minRefreshableVersion="3" recordCount="0" supportSubquery="1" supportAdvancedDrill="1" xr:uid="{8D512170-14ED-4131-ADE6-79AF3C748952}">
  <cacheSource type="external" connectionId="1"/>
  <cacheFields count="2">
    <cacheField name="[Table3].[Client Name].[Client Name]" caption="Client Name" numFmtId="0" hierarchy="11" level="1">
      <sharedItems count="8">
        <s v="FanMilk Ghana"/>
        <s v="Jumia Express"/>
        <s v="Kasapreko Co Ltd"/>
        <s v="Melcom Wholesale"/>
        <s v="Nestle Ghana"/>
        <s v="PZ Cussons Ghana"/>
        <s v="Unilever Ghana"/>
        <s v="Vodafone Ghana"/>
      </sharedItems>
    </cacheField>
    <cacheField name="[Measures].[Sum of Inventory Value (GHS)]" caption="Sum of Inventory Value (GHS)" numFmtId="0" hierarchy="29" level="32767"/>
  </cacheFields>
  <cacheHierarchies count="34"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SKU_ID]" caption="SKU_ID" attribute="1" defaultMemberUniqueName="[Table2].[SKU_ID].[All]" allUniqueName="[Table2].[SKU_ID].[All]" dimensionUniqueName="[Table2]" displayFolder="" count="0" memberValueDatatype="130" unbalanced="0"/>
    <cacheHierarchy uniqueName="[Table2].[Client_ID]" caption="Client_ID" attribute="1" defaultMemberUniqueName="[Table2].[Client_ID].[All]" allUniqueName="[Table2].[Client_ID].[All]" dimensionUniqueName="[Table2]" displayFolder="" count="0" memberValueDatatype="130" unbalanced="0"/>
    <cacheHierarchy uniqueName="[Table2].[Transaction_Type]" caption="Transaction_Type" attribute="1" defaultMemberUniqueName="[Table2].[Transaction_Type].[All]" allUniqueName="[Table2].[Transaction_Type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Order_ID]" caption="Order_ID" attribute="1" defaultMemberUniqueName="[Table2].[Order_ID].[All]" allUniqueName="[Table2].[Order_ID].[All]" dimensionUniqueName="[Table2]" displayFolder="" count="0" memberValueDatatype="130" unbalanced="0"/>
    <cacheHierarchy uniqueName="[Table2].[Warehouse]" caption="Warehouse" attribute="1" defaultMemberUniqueName="[Table2].[Warehouse].[All]" allUniqueName="[Table2].[Warehouse].[All]" dimensionUniqueName="[Table2]" displayFolder="" count="0" memberValueDatatype="130" unbalanced="0"/>
    <cacheHierarchy uniqueName="[Table2].[Staff_ID]" caption="Staff_ID" attribute="1" defaultMemberUniqueName="[Table2].[Staff_ID].[All]" allUniqueName="[Table2].[Staff_ID].[All]" dimensionUniqueName="[Table2]" displayFolder="" count="0" memberValueDatatype="130" unbalanced="0"/>
    <cacheHierarchy uniqueName="[Table3].[SKU_ID]" caption="SKU_ID" attribute="1" defaultMemberUniqueName="[Table3].[SKU_ID].[All]" allUniqueName="[Table3].[SKU_ID].[All]" dimensionUniqueName="[Table3]" displayFolder="" count="0" memberValueDatatype="130" unbalanced="0"/>
    <cacheHierarchy uniqueName="[Table3].[Client_ID]" caption="Client_ID" attribute="1" defaultMemberUniqueName="[Table3].[Client_ID].[All]" allUniqueName="[Table3].[Client_ID].[All]" dimensionUniqueName="[Table3]" displayFolder="" count="0" memberValueDatatype="130" unbalanced="0"/>
    <cacheHierarchy uniqueName="[Table3].[Client Name]" caption="Client Name" attribute="1" defaultMemberUniqueName="[Table3].[Client Name].[All]" allUniqueName="[Table3].[Client 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Item Description]" caption="Item Description" attribute="1" defaultMemberUniqueName="[Table3].[Item Description].[All]" allUniqueName="[Table3].[Item Description].[All]" dimensionUniqueName="[Table3]" displayFolder="" count="0" memberValueDatatype="130" unbalanced="0"/>
    <cacheHierarchy uniqueName="[Table3].[Opening Stock]" caption="Opening Stock" attribute="1" defaultMemberUniqueName="[Table3].[Opening Stock].[All]" allUniqueName="[Table3].[Opening Stock].[All]" dimensionUniqueName="[Table3]" displayFolder="" count="0" memberValueDatatype="20" unbalanced="0"/>
    <cacheHierarchy uniqueName="[Table3].[Stock Received]" caption="Stock Received" attribute="1" defaultMemberUniqueName="[Table3].[Stock Received].[All]" allUniqueName="[Table3].[Stock Received].[All]" dimensionUniqueName="[Table3]" displayFolder="" count="0" memberValueDatatype="20" unbalanced="0"/>
    <cacheHierarchy uniqueName="[Table3].[Stock Dispatched]" caption="Stock Dispatched" attribute="1" defaultMemberUniqueName="[Table3].[Stock Dispatched].[All]" allUniqueName="[Table3].[Stock Dispatched].[All]" dimensionUniqueName="[Table3]" displayFolder="" count="0" memberValueDatatype="20" unbalanced="0"/>
    <cacheHierarchy uniqueName="[Table3].[Damaged]" caption="Damaged" attribute="1" defaultMemberUniqueName="[Table3].[Damaged].[All]" allUniqueName="[Table3].[Damaged].[All]" dimensionUniqueName="[Table3]" displayFolder="" count="0" memberValueDatatype="20" unbalanced="0"/>
    <cacheHierarchy uniqueName="[Table3].[Closing Stock]" caption="Closing Stock" attribute="1" defaultMemberUniqueName="[Table3].[Closing Stock].[All]" allUniqueName="[Table3].[Closing Stock].[All]" dimensionUniqueName="[Table3]" displayFolder="" count="0" memberValueDatatype="20" unbalanced="0"/>
    <cacheHierarchy uniqueName="[Table3].[Reorder Threshold]" caption="Reorder Threshold" attribute="1" defaultMemberUniqueName="[Table3].[Reorder Threshold].[All]" allUniqueName="[Table3].[Reorder Threshold].[All]" dimensionUniqueName="[Table3]" displayFolder="" count="0" memberValueDatatype="20" unbalanced="0"/>
    <cacheHierarchy uniqueName="[Table3].[Unit Cost (GHS)]" caption="Unit Cost (GHS)" attribute="1" defaultMemberUniqueName="[Table3].[Unit Cost (GHS)].[All]" allUniqueName="[Table3].[Unit Cost (GHS)].[All]" dimensionUniqueName="[Table3]" displayFolder="" count="0" memberValueDatatype="20" unbalanced="0"/>
    <cacheHierarchy uniqueName="[Table3].[Inventory Value (GHS)]" caption="Inventory Value (GHS)" attribute="1" defaultMemberUniqueName="[Table3].[Inventory Value (GHS)].[All]" allUniqueName="[Table3].[Inventory Value (GHS)].[All]" dimensionUniqueName="[Table3]" displayFolder="" count="0" memberValueDatatype="20" unbalanced="0"/>
    <cacheHierarchy uniqueName="[Table3].[Stock Status]" caption="Stock Status" attribute="1" defaultMemberUniqueName="[Table3].[Stock Status].[All]" allUniqueName="[Table3].[Stock Status].[All]" dimensionUniqueName="[Table3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Count of Transaction_Type]" caption="Count of Transaction_Typ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osing Stock]" caption="Sum of Closing Stock" measure="1" displayFolder="" measureGroup="Table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ock Dispatched]" caption="Sum of Stock Dispatched" measure="1" displayFolder="" measureGroup="Table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nventory Value (GHS)]" caption="Sum of Inventory Value (GHS)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amaged]" caption="Sum of Damaged" measure="1" displayFolder="" measureGroup="Table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lient_ID]" caption="Count of Client_ID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lient Name]" caption="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lient Name]" caption="Distinct 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53.022601157405" backgroundQuery="1" createdVersion="8" refreshedVersion="8" minRefreshableVersion="3" recordCount="0" supportSubquery="1" supportAdvancedDrill="1" xr:uid="{3A774677-059A-44EA-B8B4-7ABC92868154}">
  <cacheSource type="external" connectionId="1"/>
  <cacheFields count="2">
    <cacheField name="[Table3].[Client Name].[Client Name]" caption="Client Name" numFmtId="0" hierarchy="11" level="1">
      <sharedItems count="8">
        <s v="FanMilk Ghana"/>
        <s v="Jumia Express"/>
        <s v="Kasapreko Co Ltd"/>
        <s v="Melcom Wholesale"/>
        <s v="Nestle Ghana"/>
        <s v="PZ Cussons Ghana"/>
        <s v="Unilever Ghana"/>
        <s v="Vodafone Ghana"/>
      </sharedItems>
    </cacheField>
    <cacheField name="[Measures].[Sum of Stock Dispatched]" caption="Sum of Stock Dispatched" numFmtId="0" hierarchy="28" level="32767"/>
  </cacheFields>
  <cacheHierarchies count="34"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SKU_ID]" caption="SKU_ID" attribute="1" defaultMemberUniqueName="[Table2].[SKU_ID].[All]" allUniqueName="[Table2].[SKU_ID].[All]" dimensionUniqueName="[Table2]" displayFolder="" count="0" memberValueDatatype="130" unbalanced="0"/>
    <cacheHierarchy uniqueName="[Table2].[Client_ID]" caption="Client_ID" attribute="1" defaultMemberUniqueName="[Table2].[Client_ID].[All]" allUniqueName="[Table2].[Client_ID].[All]" dimensionUniqueName="[Table2]" displayFolder="" count="0" memberValueDatatype="130" unbalanced="0"/>
    <cacheHierarchy uniqueName="[Table2].[Transaction_Type]" caption="Transaction_Type" attribute="1" defaultMemberUniqueName="[Table2].[Transaction_Type].[All]" allUniqueName="[Table2].[Transaction_Type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Order_ID]" caption="Order_ID" attribute="1" defaultMemberUniqueName="[Table2].[Order_ID].[All]" allUniqueName="[Table2].[Order_ID].[All]" dimensionUniqueName="[Table2]" displayFolder="" count="0" memberValueDatatype="130" unbalanced="0"/>
    <cacheHierarchy uniqueName="[Table2].[Warehouse]" caption="Warehouse" attribute="1" defaultMemberUniqueName="[Table2].[Warehouse].[All]" allUniqueName="[Table2].[Warehouse].[All]" dimensionUniqueName="[Table2]" displayFolder="" count="0" memberValueDatatype="130" unbalanced="0"/>
    <cacheHierarchy uniqueName="[Table2].[Staff_ID]" caption="Staff_ID" attribute="1" defaultMemberUniqueName="[Table2].[Staff_ID].[All]" allUniqueName="[Table2].[Staff_ID].[All]" dimensionUniqueName="[Table2]" displayFolder="" count="0" memberValueDatatype="130" unbalanced="0"/>
    <cacheHierarchy uniqueName="[Table3].[SKU_ID]" caption="SKU_ID" attribute="1" defaultMemberUniqueName="[Table3].[SKU_ID].[All]" allUniqueName="[Table3].[SKU_ID].[All]" dimensionUniqueName="[Table3]" displayFolder="" count="0" memberValueDatatype="130" unbalanced="0"/>
    <cacheHierarchy uniqueName="[Table3].[Client_ID]" caption="Client_ID" attribute="1" defaultMemberUniqueName="[Table3].[Client_ID].[All]" allUniqueName="[Table3].[Client_ID].[All]" dimensionUniqueName="[Table3]" displayFolder="" count="0" memberValueDatatype="130" unbalanced="0"/>
    <cacheHierarchy uniqueName="[Table3].[Client Name]" caption="Client Name" attribute="1" defaultMemberUniqueName="[Table3].[Client Name].[All]" allUniqueName="[Table3].[Client 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Item Description]" caption="Item Description" attribute="1" defaultMemberUniqueName="[Table3].[Item Description].[All]" allUniqueName="[Table3].[Item Description].[All]" dimensionUniqueName="[Table3]" displayFolder="" count="0" memberValueDatatype="130" unbalanced="0"/>
    <cacheHierarchy uniqueName="[Table3].[Opening Stock]" caption="Opening Stock" attribute="1" defaultMemberUniqueName="[Table3].[Opening Stock].[All]" allUniqueName="[Table3].[Opening Stock].[All]" dimensionUniqueName="[Table3]" displayFolder="" count="0" memberValueDatatype="20" unbalanced="0"/>
    <cacheHierarchy uniqueName="[Table3].[Stock Received]" caption="Stock Received" attribute="1" defaultMemberUniqueName="[Table3].[Stock Received].[All]" allUniqueName="[Table3].[Stock Received].[All]" dimensionUniqueName="[Table3]" displayFolder="" count="0" memberValueDatatype="20" unbalanced="0"/>
    <cacheHierarchy uniqueName="[Table3].[Stock Dispatched]" caption="Stock Dispatched" attribute="1" defaultMemberUniqueName="[Table3].[Stock Dispatched].[All]" allUniqueName="[Table3].[Stock Dispatched].[All]" dimensionUniqueName="[Table3]" displayFolder="" count="0" memberValueDatatype="20" unbalanced="0"/>
    <cacheHierarchy uniqueName="[Table3].[Damaged]" caption="Damaged" attribute="1" defaultMemberUniqueName="[Table3].[Damaged].[All]" allUniqueName="[Table3].[Damaged].[All]" dimensionUniqueName="[Table3]" displayFolder="" count="0" memberValueDatatype="20" unbalanced="0"/>
    <cacheHierarchy uniqueName="[Table3].[Closing Stock]" caption="Closing Stock" attribute="1" defaultMemberUniqueName="[Table3].[Closing Stock].[All]" allUniqueName="[Table3].[Closing Stock].[All]" dimensionUniqueName="[Table3]" displayFolder="" count="0" memberValueDatatype="20" unbalanced="0"/>
    <cacheHierarchy uniqueName="[Table3].[Reorder Threshold]" caption="Reorder Threshold" attribute="1" defaultMemberUniqueName="[Table3].[Reorder Threshold].[All]" allUniqueName="[Table3].[Reorder Threshold].[All]" dimensionUniqueName="[Table3]" displayFolder="" count="0" memberValueDatatype="20" unbalanced="0"/>
    <cacheHierarchy uniqueName="[Table3].[Unit Cost (GHS)]" caption="Unit Cost (GHS)" attribute="1" defaultMemberUniqueName="[Table3].[Unit Cost (GHS)].[All]" allUniqueName="[Table3].[Unit Cost (GHS)].[All]" dimensionUniqueName="[Table3]" displayFolder="" count="0" memberValueDatatype="20" unbalanced="0"/>
    <cacheHierarchy uniqueName="[Table3].[Inventory Value (GHS)]" caption="Inventory Value (GHS)" attribute="1" defaultMemberUniqueName="[Table3].[Inventory Value (GHS)].[All]" allUniqueName="[Table3].[Inventory Value (GHS)].[All]" dimensionUniqueName="[Table3]" displayFolder="" count="0" memberValueDatatype="20" unbalanced="0"/>
    <cacheHierarchy uniqueName="[Table3].[Stock Status]" caption="Stock Status" attribute="1" defaultMemberUniqueName="[Table3].[Stock Status].[All]" allUniqueName="[Table3].[Stock Status].[All]" dimensionUniqueName="[Table3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Count of Transaction_Type]" caption="Count of Transaction_Typ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osing Stock]" caption="Sum of Closing Stock" measure="1" displayFolder="" measureGroup="Table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ock Dispatched]" caption="Sum of Stock Dispatche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nventory Value (GHS)]" caption="Sum of Inventory Value (GHS)" measure="1" displayFolder="" measureGroup="Table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amaged]" caption="Sum of Damaged" measure="1" displayFolder="" measureGroup="Table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lient_ID]" caption="Count of Client_ID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lient Name]" caption="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lient Name]" caption="Distinct 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53.022602662037" backgroundQuery="1" createdVersion="8" refreshedVersion="8" minRefreshableVersion="3" recordCount="0" supportSubquery="1" supportAdvancedDrill="1" xr:uid="{8A4730DB-3A69-4EDA-ABDD-D57FDD5C22CD}">
  <cacheSource type="external" connectionId="1"/>
  <cacheFields count="2">
    <cacheField name="[Table3].[Client Name].[Client Name]" caption="Client Name" numFmtId="0" hierarchy="11" level="1">
      <sharedItems count="8">
        <s v="FanMilk Ghana"/>
        <s v="Jumia Express"/>
        <s v="Kasapreko Co Ltd"/>
        <s v="Melcom Wholesale"/>
        <s v="Nestle Ghana"/>
        <s v="PZ Cussons Ghana"/>
        <s v="Unilever Ghana"/>
        <s v="Vodafone Ghana"/>
      </sharedItems>
    </cacheField>
    <cacheField name="[Measures].[Sum of Closing Stock]" caption="Sum of Closing Stock" numFmtId="0" hierarchy="27" level="32767"/>
  </cacheFields>
  <cacheHierarchies count="34"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SKU_ID]" caption="SKU_ID" attribute="1" defaultMemberUniqueName="[Table2].[SKU_ID].[All]" allUniqueName="[Table2].[SKU_ID].[All]" dimensionUniqueName="[Table2]" displayFolder="" count="0" memberValueDatatype="130" unbalanced="0"/>
    <cacheHierarchy uniqueName="[Table2].[Client_ID]" caption="Client_ID" attribute="1" defaultMemberUniqueName="[Table2].[Client_ID].[All]" allUniqueName="[Table2].[Client_ID].[All]" dimensionUniqueName="[Table2]" displayFolder="" count="0" memberValueDatatype="130" unbalanced="0"/>
    <cacheHierarchy uniqueName="[Table2].[Transaction_Type]" caption="Transaction_Type" attribute="1" defaultMemberUniqueName="[Table2].[Transaction_Type].[All]" allUniqueName="[Table2].[Transaction_Type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Order_ID]" caption="Order_ID" attribute="1" defaultMemberUniqueName="[Table2].[Order_ID].[All]" allUniqueName="[Table2].[Order_ID].[All]" dimensionUniqueName="[Table2]" displayFolder="" count="0" memberValueDatatype="130" unbalanced="0"/>
    <cacheHierarchy uniqueName="[Table2].[Warehouse]" caption="Warehouse" attribute="1" defaultMemberUniqueName="[Table2].[Warehouse].[All]" allUniqueName="[Table2].[Warehouse].[All]" dimensionUniqueName="[Table2]" displayFolder="" count="0" memberValueDatatype="130" unbalanced="0"/>
    <cacheHierarchy uniqueName="[Table2].[Staff_ID]" caption="Staff_ID" attribute="1" defaultMemberUniqueName="[Table2].[Staff_ID].[All]" allUniqueName="[Table2].[Staff_ID].[All]" dimensionUniqueName="[Table2]" displayFolder="" count="0" memberValueDatatype="130" unbalanced="0"/>
    <cacheHierarchy uniqueName="[Table3].[SKU_ID]" caption="SKU_ID" attribute="1" defaultMemberUniqueName="[Table3].[SKU_ID].[All]" allUniqueName="[Table3].[SKU_ID].[All]" dimensionUniqueName="[Table3]" displayFolder="" count="0" memberValueDatatype="130" unbalanced="0"/>
    <cacheHierarchy uniqueName="[Table3].[Client_ID]" caption="Client_ID" attribute="1" defaultMemberUniqueName="[Table3].[Client_ID].[All]" allUniqueName="[Table3].[Client_ID].[All]" dimensionUniqueName="[Table3]" displayFolder="" count="0" memberValueDatatype="130" unbalanced="0"/>
    <cacheHierarchy uniqueName="[Table3].[Client Name]" caption="Client Name" attribute="1" defaultMemberUniqueName="[Table3].[Client Name].[All]" allUniqueName="[Table3].[Client 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Item Description]" caption="Item Description" attribute="1" defaultMemberUniqueName="[Table3].[Item Description].[All]" allUniqueName="[Table3].[Item Description].[All]" dimensionUniqueName="[Table3]" displayFolder="" count="0" memberValueDatatype="130" unbalanced="0"/>
    <cacheHierarchy uniqueName="[Table3].[Opening Stock]" caption="Opening Stock" attribute="1" defaultMemberUniqueName="[Table3].[Opening Stock].[All]" allUniqueName="[Table3].[Opening Stock].[All]" dimensionUniqueName="[Table3]" displayFolder="" count="0" memberValueDatatype="20" unbalanced="0"/>
    <cacheHierarchy uniqueName="[Table3].[Stock Received]" caption="Stock Received" attribute="1" defaultMemberUniqueName="[Table3].[Stock Received].[All]" allUniqueName="[Table3].[Stock Received].[All]" dimensionUniqueName="[Table3]" displayFolder="" count="0" memberValueDatatype="20" unbalanced="0"/>
    <cacheHierarchy uniqueName="[Table3].[Stock Dispatched]" caption="Stock Dispatched" attribute="1" defaultMemberUniqueName="[Table3].[Stock Dispatched].[All]" allUniqueName="[Table3].[Stock Dispatched].[All]" dimensionUniqueName="[Table3]" displayFolder="" count="0" memberValueDatatype="20" unbalanced="0"/>
    <cacheHierarchy uniqueName="[Table3].[Damaged]" caption="Damaged" attribute="1" defaultMemberUniqueName="[Table3].[Damaged].[All]" allUniqueName="[Table3].[Damaged].[All]" dimensionUniqueName="[Table3]" displayFolder="" count="0" memberValueDatatype="20" unbalanced="0"/>
    <cacheHierarchy uniqueName="[Table3].[Closing Stock]" caption="Closing Stock" attribute="1" defaultMemberUniqueName="[Table3].[Closing Stock].[All]" allUniqueName="[Table3].[Closing Stock].[All]" dimensionUniqueName="[Table3]" displayFolder="" count="0" memberValueDatatype="20" unbalanced="0"/>
    <cacheHierarchy uniqueName="[Table3].[Reorder Threshold]" caption="Reorder Threshold" attribute="1" defaultMemberUniqueName="[Table3].[Reorder Threshold].[All]" allUniqueName="[Table3].[Reorder Threshold].[All]" dimensionUniqueName="[Table3]" displayFolder="" count="0" memberValueDatatype="20" unbalanced="0"/>
    <cacheHierarchy uniqueName="[Table3].[Unit Cost (GHS)]" caption="Unit Cost (GHS)" attribute="1" defaultMemberUniqueName="[Table3].[Unit Cost (GHS)].[All]" allUniqueName="[Table3].[Unit Cost (GHS)].[All]" dimensionUniqueName="[Table3]" displayFolder="" count="0" memberValueDatatype="20" unbalanced="0"/>
    <cacheHierarchy uniqueName="[Table3].[Inventory Value (GHS)]" caption="Inventory Value (GHS)" attribute="1" defaultMemberUniqueName="[Table3].[Inventory Value (GHS)].[All]" allUniqueName="[Table3].[Inventory Value (GHS)].[All]" dimensionUniqueName="[Table3]" displayFolder="" count="0" memberValueDatatype="20" unbalanced="0"/>
    <cacheHierarchy uniqueName="[Table3].[Stock Status]" caption="Stock Status" attribute="1" defaultMemberUniqueName="[Table3].[Stock Status].[All]" allUniqueName="[Table3].[Stock Status].[All]" dimensionUniqueName="[Table3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Count of Transaction_Type]" caption="Count of Transaction_Typ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osing Stock]" caption="Sum of Closing Stock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ock Dispatched]" caption="Sum of Stock Dispatched" measure="1" displayFolder="" measureGroup="Table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nventory Value (GHS)]" caption="Sum of Inventory Value (GHS)" measure="1" displayFolder="" measureGroup="Table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amaged]" caption="Sum of Damaged" measure="1" displayFolder="" measureGroup="Table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lient_ID]" caption="Count of Client_ID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lient Name]" caption="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lient Name]" caption="Distinct 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53.385494560185" backgroundQuery="1" createdVersion="8" refreshedVersion="8" minRefreshableVersion="3" recordCount="0" supportSubquery="1" supportAdvancedDrill="1" xr:uid="{E87E112E-2EA8-4339-8204-192273F5A3A6}">
  <cacheSource type="external" connectionId="1"/>
  <cacheFields count="3">
    <cacheField name="[Table2].[Date].[Date]" caption="Date" numFmtId="0" hierarchy="1" level="1">
      <sharedItems containsSemiMixedTypes="0" containsNonDate="0" containsDate="1" containsString="0" minDate="2026-08-02T00:00:00" maxDate="2026-08-19T00:00:00" count="9">
        <d v="2026-08-02T00:00:00"/>
        <d v="2026-08-07T00:00:00"/>
        <d v="2026-08-09T00:00:00"/>
        <d v="2026-08-10T00:00:00"/>
        <d v="2026-08-12T00:00:00"/>
        <d v="2026-08-13T00:00:00"/>
        <d v="2026-08-16T00:00:00"/>
        <d v="2026-08-17T00:00:00"/>
        <d v="2026-08-18T00:00:00"/>
      </sharedItems>
    </cacheField>
    <cacheField name="[Table2].[Transaction_Type].[Transaction_Type]" caption="Transaction_Type" numFmtId="0" hierarchy="4" level="1">
      <sharedItems containsSemiMixedTypes="0" containsNonDate="0" containsString="0"/>
    </cacheField>
    <cacheField name="[Measures].[Sum of Quantity]" caption="Sum of Quantity" numFmtId="0" hierarchy="26" level="32767"/>
  </cacheFields>
  <cacheHierarchies count="34"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2" memberValueDatatype="7" unbalanced="0">
      <fieldsUsage count="2">
        <fieldUsage x="-1"/>
        <fieldUsage x="0"/>
      </fieldsUsage>
    </cacheHierarchy>
    <cacheHierarchy uniqueName="[Table2].[SKU_ID]" caption="SKU_ID" attribute="1" defaultMemberUniqueName="[Table2].[SKU_ID].[All]" allUniqueName="[Table2].[SKU_ID].[All]" dimensionUniqueName="[Table2]" displayFolder="" count="0" memberValueDatatype="130" unbalanced="0"/>
    <cacheHierarchy uniqueName="[Table2].[Client_ID]" caption="Client_ID" attribute="1" defaultMemberUniqueName="[Table2].[Client_ID].[All]" allUniqueName="[Table2].[Client_ID].[All]" dimensionUniqueName="[Table2]" displayFolder="" count="0" memberValueDatatype="130" unbalanced="0"/>
    <cacheHierarchy uniqueName="[Table2].[Transaction_Type]" caption="Transaction_Type" attribute="1" defaultMemberUniqueName="[Table2].[Transaction_Type].[All]" allUniqueName="[Table2].[Transaction_Type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Order_ID]" caption="Order_ID" attribute="1" defaultMemberUniqueName="[Table2].[Order_ID].[All]" allUniqueName="[Table2].[Order_ID].[All]" dimensionUniqueName="[Table2]" displayFolder="" count="0" memberValueDatatype="130" unbalanced="0"/>
    <cacheHierarchy uniqueName="[Table2].[Warehouse]" caption="Warehouse" attribute="1" defaultMemberUniqueName="[Table2].[Warehouse].[All]" allUniqueName="[Table2].[Warehouse].[All]" dimensionUniqueName="[Table2]" displayFolder="" count="0" memberValueDatatype="130" unbalanced="0"/>
    <cacheHierarchy uniqueName="[Table2].[Staff_ID]" caption="Staff_ID" attribute="1" defaultMemberUniqueName="[Table2].[Staff_ID].[All]" allUniqueName="[Table2].[Staff_ID].[All]" dimensionUniqueName="[Table2]" displayFolder="" count="0" memberValueDatatype="130" unbalanced="0"/>
    <cacheHierarchy uniqueName="[Table3].[SKU_ID]" caption="SKU_ID" attribute="1" defaultMemberUniqueName="[Table3].[SKU_ID].[All]" allUniqueName="[Table3].[SKU_ID].[All]" dimensionUniqueName="[Table3]" displayFolder="" count="0" memberValueDatatype="130" unbalanced="0"/>
    <cacheHierarchy uniqueName="[Table3].[Client_ID]" caption="Client_ID" attribute="1" defaultMemberUniqueName="[Table3].[Client_ID].[All]" allUniqueName="[Table3].[Client_ID].[All]" dimensionUniqueName="[Table3]" displayFolder="" count="0" memberValueDatatype="130" unbalanced="0"/>
    <cacheHierarchy uniqueName="[Table3].[Client Name]" caption="Client Name" attribute="1" defaultMemberUniqueName="[Table3].[Client Name].[All]" allUniqueName="[Table3].[Client Name].[All]" dimensionUniqueName="[Table3]" displayFolder="" count="0" memberValueDatatype="130" unbalanced="0"/>
    <cacheHierarchy uniqueName="[Table3].[Item Description]" caption="Item Description" attribute="1" defaultMemberUniqueName="[Table3].[Item Description].[All]" allUniqueName="[Table3].[Item Description].[All]" dimensionUniqueName="[Table3]" displayFolder="" count="0" memberValueDatatype="130" unbalanced="0"/>
    <cacheHierarchy uniqueName="[Table3].[Opening Stock]" caption="Opening Stock" attribute="1" defaultMemberUniqueName="[Table3].[Opening Stock].[All]" allUniqueName="[Table3].[Opening Stock].[All]" dimensionUniqueName="[Table3]" displayFolder="" count="0" memberValueDatatype="20" unbalanced="0"/>
    <cacheHierarchy uniqueName="[Table3].[Stock Received]" caption="Stock Received" attribute="1" defaultMemberUniqueName="[Table3].[Stock Received].[All]" allUniqueName="[Table3].[Stock Received].[All]" dimensionUniqueName="[Table3]" displayFolder="" count="0" memberValueDatatype="20" unbalanced="0"/>
    <cacheHierarchy uniqueName="[Table3].[Stock Dispatched]" caption="Stock Dispatched" attribute="1" defaultMemberUniqueName="[Table3].[Stock Dispatched].[All]" allUniqueName="[Table3].[Stock Dispatched].[All]" dimensionUniqueName="[Table3]" displayFolder="" count="0" memberValueDatatype="20" unbalanced="0"/>
    <cacheHierarchy uniqueName="[Table3].[Damaged]" caption="Damaged" attribute="1" defaultMemberUniqueName="[Table3].[Damaged].[All]" allUniqueName="[Table3].[Damaged].[All]" dimensionUniqueName="[Table3]" displayFolder="" count="0" memberValueDatatype="20" unbalanced="0"/>
    <cacheHierarchy uniqueName="[Table3].[Closing Stock]" caption="Closing Stock" attribute="1" defaultMemberUniqueName="[Table3].[Closing Stock].[All]" allUniqueName="[Table3].[Closing Stock].[All]" dimensionUniqueName="[Table3]" displayFolder="" count="0" memberValueDatatype="20" unbalanced="0"/>
    <cacheHierarchy uniqueName="[Table3].[Reorder Threshold]" caption="Reorder Threshold" attribute="1" defaultMemberUniqueName="[Table3].[Reorder Threshold].[All]" allUniqueName="[Table3].[Reorder Threshold].[All]" dimensionUniqueName="[Table3]" displayFolder="" count="0" memberValueDatatype="20" unbalanced="0"/>
    <cacheHierarchy uniqueName="[Table3].[Unit Cost (GHS)]" caption="Unit Cost (GHS)" attribute="1" defaultMemberUniqueName="[Table3].[Unit Cost (GHS)].[All]" allUniqueName="[Table3].[Unit Cost (GHS)].[All]" dimensionUniqueName="[Table3]" displayFolder="" count="0" memberValueDatatype="20" unbalanced="0"/>
    <cacheHierarchy uniqueName="[Table3].[Inventory Value (GHS)]" caption="Inventory Value (GHS)" attribute="1" defaultMemberUniqueName="[Table3].[Inventory Value (GHS)].[All]" allUniqueName="[Table3].[Inventory Value (GHS)].[All]" dimensionUniqueName="[Table3]" displayFolder="" count="0" memberValueDatatype="20" unbalanced="0"/>
    <cacheHierarchy uniqueName="[Table3].[Stock Status]" caption="Stock Status" attribute="1" defaultMemberUniqueName="[Table3].[Stock Status].[All]" allUniqueName="[Table3].[Stock Status].[All]" dimensionUniqueName="[Table3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Count of Transaction_Type]" caption="Count of Transaction_Typ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osing Stock]" caption="Sum of Closing Stock" measure="1" displayFolder="" measureGroup="Table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ock Dispatched]" caption="Sum of Stock Dispatched" measure="1" displayFolder="" measureGroup="Table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nventory Value (GHS)]" caption="Sum of Inventory Value (GHS)" measure="1" displayFolder="" measureGroup="Table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amaged]" caption="Sum of Damaged" measure="1" displayFolder="" measureGroup="Table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lient_ID]" caption="Count of Client_ID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lient Name]" caption="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lient Name]" caption="Distinct Count of Client Name" measure="1" displayFolder="" measureGroup="Table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F5D4B-DA46-4D86-92ED-A51DF78EB291}" name="Dispactched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lient Name">
  <location ref="I3:J12" firstHeaderRow="1" firstDataRow="1" firstDataCol="1"/>
  <pivotFields count="2"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7"/>
    </i>
    <i>
      <x v="3"/>
    </i>
    <i>
      <x v="5"/>
    </i>
    <i>
      <x v="6"/>
    </i>
    <i>
      <x v="1"/>
    </i>
    <i>
      <x/>
    </i>
    <i>
      <x v="4"/>
    </i>
    <i>
      <x v="2"/>
    </i>
    <i t="grand">
      <x/>
    </i>
  </rowItems>
  <colItems count="1">
    <i/>
  </colItems>
  <dataFields count="1">
    <dataField name="Sum of Stock Dispatched" fld="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8E3E7-A43C-4451-85E1-13E97B723CB5}" name="ClosingS_tabl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lient Name">
  <location ref="F3:G12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2"/>
    </i>
    <i>
      <x/>
    </i>
    <i>
      <x v="6"/>
    </i>
    <i>
      <x v="5"/>
    </i>
    <i>
      <x v="1"/>
    </i>
    <i>
      <x v="3"/>
    </i>
    <i>
      <x v="7"/>
    </i>
    <i>
      <x v="4"/>
    </i>
    <i t="grand">
      <x/>
    </i>
  </rowItems>
  <colItems count="1">
    <i/>
  </colItems>
  <dataFields count="1">
    <dataField name="Sum of Closing Stock" fld="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F70F2-D680-475A-AE0A-9ED752550510}" name="StockR-Table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rowHeaderCaption="Date">
  <location ref="C3:D13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4" name="[Table2].[Transaction_Type].&amp;[Stock Received]" cap="Stock Received"/>
  </pageFields>
  <dataFields count="1">
    <dataField name="Sum of Quantity" fld="2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374C9-7F12-4BED-87D8-BCEBC877B6E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8:J27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Distinct Count of Client Nam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lient Name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518DF-E023-45A4-9D90-E33E66A2DEC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 Name">
  <location ref="F18:G2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Damaged" fld="0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4EBA9-A501-42EA-AC6E-7DD84716AB5F}" name="InventoryT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Client Name">
  <location ref="C17:D26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3"/>
    </i>
    <i>
      <x/>
    </i>
    <i>
      <x v="2"/>
    </i>
    <i>
      <x v="6"/>
    </i>
    <i>
      <x v="1"/>
    </i>
    <i>
      <x v="4"/>
    </i>
    <i>
      <x v="7"/>
    </i>
    <i>
      <x v="5"/>
    </i>
    <i t="grand">
      <x/>
    </i>
  </rowItems>
  <colItems count="1">
    <i/>
  </colItems>
  <dataFields count="1">
    <dataField name="Sum of Inventory Value (GHS)" fld="1" baseField="0" baseItem="0" numFmtId="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53815-BF5F-45AC-9E84-889F62EA3011}" name="Table1" displayName="Table1" ref="C3:K23" totalsRowShown="0" headerRowDxfId="51" dataDxfId="50">
  <autoFilter ref="C3:K23" xr:uid="{88B53815-BF5F-45AC-9E84-889F62EA3011}"/>
  <tableColumns count="9">
    <tableColumn id="1" xr3:uid="{AEE6B424-67E1-41B5-A38A-E02350E9CDA6}" name="SKU_ID" dataDxfId="49"/>
    <tableColumn id="2" xr3:uid="{DBCDA130-88D7-4A8F-9E42-1FCBAC62B33B}" name="Client_ID" dataDxfId="48"/>
    <tableColumn id="3" xr3:uid="{710EBEE4-89DE-4025-B122-381A56B295A8}" name="Client Name" dataDxfId="47"/>
    <tableColumn id="4" xr3:uid="{049BD25A-C551-4EFB-95DF-C55ABC12BBB2}" name="Item Description" dataDxfId="46"/>
    <tableColumn id="5" xr3:uid="{90095AB8-0D3F-4A02-9402-9A9E8C91F0A6}" name="Category" dataDxfId="45"/>
    <tableColumn id="6" xr3:uid="{36A814DB-5CB7-43CC-B93D-9D9FE43F6917}" name="Storage Zone" dataDxfId="44"/>
    <tableColumn id="7" xr3:uid="{5E8420C5-32AB-42F9-9F3C-D556CDB66D07}" name="Reorder Threshold" dataDxfId="43"/>
    <tableColumn id="8" xr3:uid="{EA9A3F5A-DADB-4A4F-BE5C-B0437BECB94A}" name="Unit" dataDxfId="42"/>
    <tableColumn id="9" xr3:uid="{548ABFB6-BF7D-4B6C-93A8-B789C88B6BE6}" name="Unit Cost (GHS)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331AEC-D09F-4B76-ABC2-7455CF9DD32C}" name="Table2" displayName="Table2" ref="C3:K105" totalsRowShown="0" headerRowDxfId="40" dataDxfId="39">
  <autoFilter ref="C3:K105" xr:uid="{65331AEC-D09F-4B76-ABC2-7455CF9DD32C}"/>
  <tableColumns count="9">
    <tableColumn id="1" xr3:uid="{0CDE86BF-EA79-4D29-9B9A-8CCE1D29390C}" name="Transaction_ID" dataDxfId="2"/>
    <tableColumn id="2" xr3:uid="{CD93E12F-69EA-4197-AC41-784D0EBC701F}" name="Date" dataDxfId="0"/>
    <tableColumn id="3" xr3:uid="{F5A2E86F-0B41-4995-8E8A-581A610BB4D0}" name="SKU_ID" dataDxfId="1"/>
    <tableColumn id="4" xr3:uid="{C58582C4-1740-482F-8EDB-5B0583B76C76}" name="Client_ID" dataDxfId="38"/>
    <tableColumn id="5" xr3:uid="{E05C9B7B-D481-4928-81CE-7F7A34ED9FB1}" name="Transaction_Type" dataDxfId="37"/>
    <tableColumn id="6" xr3:uid="{DCBDA328-BEC4-45B7-BFB6-DB2548BFA237}" name="Quantity" dataDxfId="36"/>
    <tableColumn id="7" xr3:uid="{9E9F87C2-D82F-431F-84D1-882A2C7EBCDD}" name="Order_ID" dataDxfId="35"/>
    <tableColumn id="8" xr3:uid="{D126C5BF-089B-4693-B62A-995A72421BC9}" name="Warehouse" dataDxfId="34"/>
    <tableColumn id="9" xr3:uid="{BCFDAC65-9F91-4041-8099-17A490B17DE3}" name="Staff_ID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BFD65A-939D-4B2E-B54D-6EDE513819E2}" name="Table3" displayName="Table3" ref="A1:M21" headerRowDxfId="32" dataDxfId="31">
  <autoFilter ref="A1:M21" xr:uid="{4ABFD65A-939D-4B2E-B54D-6EDE513819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66686B9-588E-4729-8742-B924314C3902}" name="SKU_ID" totalsRowLabel="Total" dataDxfId="30" totalsRowDxfId="29"/>
    <tableColumn id="2" xr3:uid="{4CB9D1C7-7F65-4091-9AF7-EE7E7A99B14E}" name="Client_ID" dataDxfId="28" totalsRowDxfId="27"/>
    <tableColumn id="3" xr3:uid="{3F3FFF41-EB48-4B1A-BCB4-0346F01D9C87}" name="Client Name" dataDxfId="26" totalsRowDxfId="25"/>
    <tableColumn id="4" xr3:uid="{FF0BE890-382E-41F2-95E1-8F0385267924}" name="Item Description" dataDxfId="24" totalsRowDxfId="23"/>
    <tableColumn id="5" xr3:uid="{61D7AF86-F894-4144-8393-72F25423974E}" name="Opening Stock" dataDxfId="22" totalsRowDxfId="21">
      <calculatedColumnFormula>_xlfn.XLOOKUP(Table3[[#This Row],[SKU_ID]],Table2[SKU_ID],Table2[Quantity])</calculatedColumnFormula>
    </tableColumn>
    <tableColumn id="6" xr3:uid="{759821E9-3909-48AB-B5C8-5A477816B367}" name="Stock Received" totalsRowFunction="sum" dataDxfId="20" totalsRowDxfId="19">
      <calculatedColumnFormula>SUMIFS(Table2[Quantity],Table2[SKU_ID],Table3[[#This Row],[SKU_ID]],Table2[Transaction_Type],"Stock Received")</calculatedColumnFormula>
    </tableColumn>
    <tableColumn id="7" xr3:uid="{F76887D0-328E-4ACB-9698-0808E849F161}" name="Stock Dispatched" dataDxfId="18" totalsRowDxfId="17">
      <calculatedColumnFormula>SUMIFS(Table2[Quantity],Table2[SKU_ID],Table3[[#This Row],[SKU_ID]],Table2[Transaction_Type],"Dispatched")</calculatedColumnFormula>
    </tableColumn>
    <tableColumn id="8" xr3:uid="{10B023D5-168A-43DA-8237-E40A0D87C523}" name="Damaged" dataDxfId="16" totalsRowDxfId="15">
      <calculatedColumnFormula>SUMIFS(Table2[Quantity],Table2[SKU_ID],Table3[[#This Row],[SKU_ID]],Table2[Transaction_Type],"Damaged")</calculatedColumnFormula>
    </tableColumn>
    <tableColumn id="9" xr3:uid="{9418F217-5292-4B2E-9F1F-BD666D2E176D}" name="Closing Stock" dataDxfId="14" totalsRowDxfId="13">
      <calculatedColumnFormula>SUM(Table3[[#This Row],[Opening Stock]],Table3[[#This Row],[Stock Received]])-SUM(Table3[[#This Row],[Stock Dispatched]],Table3[[#This Row],[Damaged]])</calculatedColumnFormula>
    </tableColumn>
    <tableColumn id="10" xr3:uid="{8CC09F67-82C9-4A3D-B993-3ED5C5F9F075}" name="Reorder Threshold" dataDxfId="12" totalsRowDxfId="11">
      <calculatedColumnFormula>_xlfn.XLOOKUP(Table3[[#This Row],[SKU_ID]],Table1[SKU_ID],Table1[Reorder Threshold])</calculatedColumnFormula>
    </tableColumn>
    <tableColumn id="11" xr3:uid="{1B6CF646-EE11-48B4-ABA0-65ADE64A1296}" name="Unit Cost (GHS)" dataDxfId="10" totalsRowDxfId="9">
      <calculatedColumnFormula>_xlfn.XLOOKUP(Table3[[#This Row],[SKU_ID]],Table1[SKU_ID],Table1[Unit Cost (GHS)])</calculatedColumnFormula>
    </tableColumn>
    <tableColumn id="12" xr3:uid="{2FEB27C2-7F88-4609-A1C2-1573E8547F69}" name="Inventory Value (GHS)" dataDxfId="8" totalsRowDxfId="7">
      <calculatedColumnFormula>Table3[[#This Row],[Closing Stock]]*Table3[[#This Row],[Unit Cost (GHS)]]</calculatedColumnFormula>
    </tableColumn>
    <tableColumn id="13" xr3:uid="{BB75CFD0-05FE-42B2-A961-13DC8671355A}" name="Stock Status" totalsRowFunction="count" dataDxfId="6" totalsRowDxfId="5">
      <calculatedColumnFormula>IF(Table3[[#This Row],[Closing Stock]]&gt;=Table3[[#This Row],[Reorder Threshold]],"OK","LOW")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7EA7-CE2A-41FE-83C1-0985525CCF0F}">
  <dimension ref="A1:K23"/>
  <sheetViews>
    <sheetView workbookViewId="0"/>
  </sheetViews>
  <sheetFormatPr defaultRowHeight="15" x14ac:dyDescent="0.25"/>
  <cols>
    <col min="1" max="1" width="23.85546875" style="7" customWidth="1"/>
    <col min="2" max="2" width="5" customWidth="1"/>
    <col min="3" max="3" width="12" bestFit="1" customWidth="1"/>
    <col min="4" max="4" width="14" bestFit="1" customWidth="1"/>
    <col min="5" max="5" width="16.85546875" bestFit="1" customWidth="1"/>
    <col min="6" max="6" width="20.85546875" bestFit="1" customWidth="1"/>
    <col min="7" max="7" width="13.7109375" bestFit="1" customWidth="1"/>
    <col min="8" max="8" width="17.28515625" bestFit="1" customWidth="1"/>
    <col min="9" max="9" width="18" bestFit="1" customWidth="1"/>
    <col min="10" max="10" width="9.28515625" bestFit="1" customWidth="1"/>
    <col min="11" max="11" width="15.42578125" bestFit="1" customWidth="1"/>
  </cols>
  <sheetData>
    <row r="1" spans="3:11" s="7" customFormat="1" ht="72" customHeight="1" x14ac:dyDescent="0.25"/>
    <row r="3" spans="3:11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3" t="s">
        <v>6</v>
      </c>
      <c r="J3" s="1" t="s">
        <v>7</v>
      </c>
      <c r="K3" s="3" t="s">
        <v>8</v>
      </c>
    </row>
    <row r="4" spans="3:11" ht="30" x14ac:dyDescent="0.25"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2">
        <v>50</v>
      </c>
      <c r="J4" s="4" t="s">
        <v>15</v>
      </c>
      <c r="K4" s="2">
        <v>180</v>
      </c>
    </row>
    <row r="5" spans="3:11" ht="30" x14ac:dyDescent="0.25">
      <c r="C5" s="4" t="s">
        <v>16</v>
      </c>
      <c r="D5" s="4" t="s">
        <v>10</v>
      </c>
      <c r="E5" s="4" t="s">
        <v>11</v>
      </c>
      <c r="F5" s="4" t="s">
        <v>17</v>
      </c>
      <c r="G5" s="4" t="s">
        <v>13</v>
      </c>
      <c r="H5" s="4" t="s">
        <v>14</v>
      </c>
      <c r="I5" s="2">
        <v>100</v>
      </c>
      <c r="J5" s="4" t="s">
        <v>15</v>
      </c>
      <c r="K5" s="2">
        <v>85</v>
      </c>
    </row>
    <row r="6" spans="3:11" ht="30" x14ac:dyDescent="0.25"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4" t="s">
        <v>23</v>
      </c>
      <c r="I6" s="2">
        <v>15</v>
      </c>
      <c r="J6" s="4" t="s">
        <v>24</v>
      </c>
      <c r="K6" s="2">
        <v>1850</v>
      </c>
    </row>
    <row r="7" spans="3:11" ht="30" x14ac:dyDescent="0.25">
      <c r="C7" s="4" t="s">
        <v>25</v>
      </c>
      <c r="D7" s="4" t="s">
        <v>19</v>
      </c>
      <c r="E7" s="4" t="s">
        <v>20</v>
      </c>
      <c r="F7" s="4" t="s">
        <v>26</v>
      </c>
      <c r="G7" s="4" t="s">
        <v>27</v>
      </c>
      <c r="H7" s="4" t="s">
        <v>23</v>
      </c>
      <c r="I7" s="2">
        <v>25</v>
      </c>
      <c r="J7" s="4" t="s">
        <v>24</v>
      </c>
      <c r="K7" s="2">
        <v>220</v>
      </c>
    </row>
    <row r="8" spans="3:11" ht="30" x14ac:dyDescent="0.25">
      <c r="C8" s="4" t="s">
        <v>28</v>
      </c>
      <c r="D8" s="4" t="s">
        <v>29</v>
      </c>
      <c r="E8" s="4" t="s">
        <v>30</v>
      </c>
      <c r="F8" s="4" t="s">
        <v>31</v>
      </c>
      <c r="G8" s="4" t="s">
        <v>32</v>
      </c>
      <c r="H8" s="4" t="s">
        <v>33</v>
      </c>
      <c r="I8" s="2">
        <v>80</v>
      </c>
      <c r="J8" s="4" t="s">
        <v>34</v>
      </c>
      <c r="K8" s="2">
        <v>110</v>
      </c>
    </row>
    <row r="9" spans="3:11" ht="30" x14ac:dyDescent="0.25">
      <c r="C9" s="4" t="s">
        <v>35</v>
      </c>
      <c r="D9" s="4" t="s">
        <v>29</v>
      </c>
      <c r="E9" s="4" t="s">
        <v>30</v>
      </c>
      <c r="F9" s="4" t="s">
        <v>36</v>
      </c>
      <c r="G9" s="4" t="s">
        <v>32</v>
      </c>
      <c r="H9" s="4" t="s">
        <v>33</v>
      </c>
      <c r="I9" s="2">
        <v>80</v>
      </c>
      <c r="J9" s="4" t="s">
        <v>34</v>
      </c>
      <c r="K9" s="2">
        <v>110</v>
      </c>
    </row>
    <row r="10" spans="3:11" ht="30" x14ac:dyDescent="0.25">
      <c r="C10" s="4" t="s">
        <v>37</v>
      </c>
      <c r="D10" s="4" t="s">
        <v>38</v>
      </c>
      <c r="E10" s="4" t="s">
        <v>39</v>
      </c>
      <c r="F10" s="4" t="s">
        <v>40</v>
      </c>
      <c r="G10" s="4" t="s">
        <v>22</v>
      </c>
      <c r="H10" s="4" t="s">
        <v>23</v>
      </c>
      <c r="I10" s="2">
        <v>40</v>
      </c>
      <c r="J10" s="4" t="s">
        <v>24</v>
      </c>
      <c r="K10" s="2">
        <v>95</v>
      </c>
    </row>
    <row r="11" spans="3:11" ht="30" x14ac:dyDescent="0.25">
      <c r="C11" s="4" t="s">
        <v>41</v>
      </c>
      <c r="D11" s="4" t="s">
        <v>38</v>
      </c>
      <c r="E11" s="4" t="s">
        <v>39</v>
      </c>
      <c r="F11" s="4" t="s">
        <v>42</v>
      </c>
      <c r="G11" s="4" t="s">
        <v>22</v>
      </c>
      <c r="H11" s="4" t="s">
        <v>23</v>
      </c>
      <c r="I11" s="2">
        <v>30</v>
      </c>
      <c r="J11" s="4" t="s">
        <v>24</v>
      </c>
      <c r="K11" s="2">
        <v>150</v>
      </c>
    </row>
    <row r="12" spans="3:11" ht="30" x14ac:dyDescent="0.25">
      <c r="C12" s="4" t="s">
        <v>43</v>
      </c>
      <c r="D12" s="4" t="s">
        <v>44</v>
      </c>
      <c r="E12" s="4" t="s">
        <v>45</v>
      </c>
      <c r="F12" s="4" t="s">
        <v>46</v>
      </c>
      <c r="G12" s="4" t="s">
        <v>47</v>
      </c>
      <c r="H12" s="4" t="s">
        <v>48</v>
      </c>
      <c r="I12" s="2">
        <v>60</v>
      </c>
      <c r="J12" s="4" t="s">
        <v>49</v>
      </c>
      <c r="K12" s="2">
        <v>140</v>
      </c>
    </row>
    <row r="13" spans="3:11" ht="45" x14ac:dyDescent="0.25">
      <c r="C13" s="4" t="s">
        <v>50</v>
      </c>
      <c r="D13" s="4" t="s">
        <v>44</v>
      </c>
      <c r="E13" s="4" t="s">
        <v>45</v>
      </c>
      <c r="F13" s="4" t="s">
        <v>51</v>
      </c>
      <c r="G13" s="4" t="s">
        <v>47</v>
      </c>
      <c r="H13" s="4" t="s">
        <v>48</v>
      </c>
      <c r="I13" s="2">
        <v>45</v>
      </c>
      <c r="J13" s="4" t="s">
        <v>49</v>
      </c>
      <c r="K13" s="2">
        <v>130</v>
      </c>
    </row>
    <row r="14" spans="3:11" ht="30" x14ac:dyDescent="0.25">
      <c r="C14" s="4" t="s">
        <v>52</v>
      </c>
      <c r="D14" s="4" t="s">
        <v>53</v>
      </c>
      <c r="E14" s="4" t="s">
        <v>54</v>
      </c>
      <c r="F14" s="4" t="s">
        <v>55</v>
      </c>
      <c r="G14" s="4" t="s">
        <v>56</v>
      </c>
      <c r="H14" s="4" t="s">
        <v>48</v>
      </c>
      <c r="I14" s="2">
        <v>50</v>
      </c>
      <c r="J14" s="4" t="s">
        <v>34</v>
      </c>
      <c r="K14" s="2">
        <v>210</v>
      </c>
    </row>
    <row r="15" spans="3:11" ht="30" x14ac:dyDescent="0.25">
      <c r="C15" s="4" t="s">
        <v>57</v>
      </c>
      <c r="D15" s="4" t="s">
        <v>53</v>
      </c>
      <c r="E15" s="4" t="s">
        <v>54</v>
      </c>
      <c r="F15" s="4" t="s">
        <v>58</v>
      </c>
      <c r="G15" s="4" t="s">
        <v>13</v>
      </c>
      <c r="H15" s="4" t="s">
        <v>48</v>
      </c>
      <c r="I15" s="2">
        <v>40</v>
      </c>
      <c r="J15" s="4" t="s">
        <v>49</v>
      </c>
      <c r="K15" s="2">
        <v>175</v>
      </c>
    </row>
    <row r="16" spans="3:11" x14ac:dyDescent="0.25">
      <c r="C16" s="4" t="s">
        <v>59</v>
      </c>
      <c r="D16" s="4" t="s">
        <v>60</v>
      </c>
      <c r="E16" s="4" t="s">
        <v>61</v>
      </c>
      <c r="F16" s="4" t="s">
        <v>62</v>
      </c>
      <c r="G16" s="4" t="s">
        <v>22</v>
      </c>
      <c r="H16" s="4" t="s">
        <v>23</v>
      </c>
      <c r="I16" s="2">
        <v>25</v>
      </c>
      <c r="J16" s="4" t="s">
        <v>24</v>
      </c>
      <c r="K16" s="2">
        <v>320</v>
      </c>
    </row>
    <row r="17" spans="3:11" x14ac:dyDescent="0.25">
      <c r="C17" s="4" t="s">
        <v>63</v>
      </c>
      <c r="D17" s="4" t="s">
        <v>60</v>
      </c>
      <c r="E17" s="4" t="s">
        <v>61</v>
      </c>
      <c r="F17" s="4" t="s">
        <v>64</v>
      </c>
      <c r="G17" s="4" t="s">
        <v>22</v>
      </c>
      <c r="H17" s="4" t="s">
        <v>23</v>
      </c>
      <c r="I17" s="2">
        <v>35</v>
      </c>
      <c r="J17" s="4" t="s">
        <v>24</v>
      </c>
      <c r="K17" s="2">
        <v>75</v>
      </c>
    </row>
    <row r="18" spans="3:11" ht="30" x14ac:dyDescent="0.25">
      <c r="C18" s="4" t="s">
        <v>65</v>
      </c>
      <c r="D18" s="4" t="s">
        <v>66</v>
      </c>
      <c r="E18" s="4" t="s">
        <v>67</v>
      </c>
      <c r="F18" s="4" t="s">
        <v>68</v>
      </c>
      <c r="G18" s="4" t="s">
        <v>47</v>
      </c>
      <c r="H18" s="4" t="s">
        <v>48</v>
      </c>
      <c r="I18" s="2">
        <v>55</v>
      </c>
      <c r="J18" s="4" t="s">
        <v>49</v>
      </c>
      <c r="K18" s="2">
        <v>125</v>
      </c>
    </row>
    <row r="19" spans="3:11" ht="45" x14ac:dyDescent="0.25">
      <c r="C19" s="4" t="s">
        <v>69</v>
      </c>
      <c r="D19" s="4" t="s">
        <v>66</v>
      </c>
      <c r="E19" s="4" t="s">
        <v>67</v>
      </c>
      <c r="F19" s="4" t="s">
        <v>70</v>
      </c>
      <c r="G19" s="4" t="s">
        <v>71</v>
      </c>
      <c r="H19" s="4" t="s">
        <v>48</v>
      </c>
      <c r="I19" s="2">
        <v>60</v>
      </c>
      <c r="J19" s="4" t="s">
        <v>72</v>
      </c>
      <c r="K19" s="2">
        <v>28</v>
      </c>
    </row>
    <row r="20" spans="3:11" ht="30" x14ac:dyDescent="0.25">
      <c r="C20" s="4" t="s">
        <v>73</v>
      </c>
      <c r="D20" s="4" t="s">
        <v>19</v>
      </c>
      <c r="E20" s="4" t="s">
        <v>20</v>
      </c>
      <c r="F20" s="4" t="s">
        <v>74</v>
      </c>
      <c r="G20" s="4" t="s">
        <v>71</v>
      </c>
      <c r="H20" s="4" t="s">
        <v>75</v>
      </c>
      <c r="I20" s="2">
        <v>30</v>
      </c>
      <c r="J20" s="4" t="s">
        <v>76</v>
      </c>
      <c r="K20" s="2">
        <v>65</v>
      </c>
    </row>
    <row r="21" spans="3:11" x14ac:dyDescent="0.25">
      <c r="C21" s="4" t="s">
        <v>77</v>
      </c>
      <c r="D21" s="4" t="s">
        <v>38</v>
      </c>
      <c r="E21" s="4" t="s">
        <v>39</v>
      </c>
      <c r="F21" s="4" t="s">
        <v>78</v>
      </c>
      <c r="G21" s="4" t="s">
        <v>22</v>
      </c>
      <c r="H21" s="4" t="s">
        <v>23</v>
      </c>
      <c r="I21" s="2">
        <v>20</v>
      </c>
      <c r="J21" s="4" t="s">
        <v>24</v>
      </c>
      <c r="K21" s="2">
        <v>280</v>
      </c>
    </row>
    <row r="22" spans="3:11" ht="30" x14ac:dyDescent="0.25">
      <c r="C22" s="4" t="s">
        <v>79</v>
      </c>
      <c r="D22" s="4" t="s">
        <v>29</v>
      </c>
      <c r="E22" s="4" t="s">
        <v>30</v>
      </c>
      <c r="F22" s="4" t="s">
        <v>80</v>
      </c>
      <c r="G22" s="4" t="s">
        <v>32</v>
      </c>
      <c r="H22" s="4" t="s">
        <v>33</v>
      </c>
      <c r="I22" s="2">
        <v>70</v>
      </c>
      <c r="J22" s="4" t="s">
        <v>34</v>
      </c>
      <c r="K22" s="2">
        <v>105</v>
      </c>
    </row>
    <row r="23" spans="3:11" ht="30" x14ac:dyDescent="0.25">
      <c r="C23" s="4" t="s">
        <v>81</v>
      </c>
      <c r="D23" s="4" t="s">
        <v>10</v>
      </c>
      <c r="E23" s="4" t="s">
        <v>11</v>
      </c>
      <c r="F23" s="4" t="s">
        <v>82</v>
      </c>
      <c r="G23" s="4" t="s">
        <v>13</v>
      </c>
      <c r="H23" s="4" t="s">
        <v>14</v>
      </c>
      <c r="I23" s="2">
        <v>120</v>
      </c>
      <c r="J23" s="4" t="s">
        <v>49</v>
      </c>
      <c r="K23" s="2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C64C-7489-450B-9C3A-28448C2483C9}">
  <dimension ref="A1:K105"/>
  <sheetViews>
    <sheetView tabSelected="1" workbookViewId="0">
      <selection activeCell="M7" sqref="M7"/>
    </sheetView>
  </sheetViews>
  <sheetFormatPr defaultRowHeight="15" x14ac:dyDescent="0.25"/>
  <cols>
    <col min="1" max="1" width="23.85546875" style="7" customWidth="1"/>
    <col min="3" max="3" width="19" bestFit="1" customWidth="1"/>
    <col min="4" max="4" width="10.42578125" style="14" bestFit="1" customWidth="1"/>
    <col min="5" max="5" width="12" bestFit="1" customWidth="1"/>
    <col min="6" max="6" width="14" bestFit="1" customWidth="1"/>
    <col min="7" max="7" width="21.28515625" bestFit="1" customWidth="1"/>
    <col min="8" max="8" width="8.7109375" bestFit="1" customWidth="1"/>
    <col min="9" max="9" width="13.5703125" bestFit="1" customWidth="1"/>
    <col min="10" max="10" width="15.85546875" bestFit="1" customWidth="1"/>
    <col min="11" max="11" width="12.7109375" bestFit="1" customWidth="1"/>
  </cols>
  <sheetData>
    <row r="1" spans="3:11" s="7" customFormat="1" ht="65.25" customHeight="1" x14ac:dyDescent="0.25">
      <c r="D1" s="11"/>
    </row>
    <row r="3" spans="3:11" x14ac:dyDescent="0.25">
      <c r="C3" s="1" t="s">
        <v>83</v>
      </c>
      <c r="D3" s="12" t="s">
        <v>84</v>
      </c>
      <c r="E3" s="1" t="s">
        <v>0</v>
      </c>
      <c r="F3" s="1" t="s">
        <v>1</v>
      </c>
      <c r="G3" s="1" t="s">
        <v>85</v>
      </c>
      <c r="H3" s="3" t="s">
        <v>86</v>
      </c>
      <c r="I3" s="1" t="s">
        <v>87</v>
      </c>
      <c r="J3" s="1" t="s">
        <v>88</v>
      </c>
      <c r="K3" s="1" t="s">
        <v>89</v>
      </c>
    </row>
    <row r="4" spans="3:11" x14ac:dyDescent="0.25">
      <c r="C4" s="4" t="s">
        <v>90</v>
      </c>
      <c r="D4" s="13">
        <v>46235</v>
      </c>
      <c r="E4" s="4" t="s">
        <v>9</v>
      </c>
      <c r="F4" s="4" t="s">
        <v>10</v>
      </c>
      <c r="G4" s="4" t="s">
        <v>91</v>
      </c>
      <c r="H4" s="2">
        <v>500</v>
      </c>
      <c r="I4" s="4" t="s">
        <v>92</v>
      </c>
      <c r="J4" s="4" t="s">
        <v>93</v>
      </c>
      <c r="K4" s="4" t="s">
        <v>94</v>
      </c>
    </row>
    <row r="5" spans="3:11" x14ac:dyDescent="0.25">
      <c r="C5" s="4" t="s">
        <v>95</v>
      </c>
      <c r="D5" s="13">
        <v>46235</v>
      </c>
      <c r="E5" s="4" t="s">
        <v>16</v>
      </c>
      <c r="F5" s="4" t="s">
        <v>10</v>
      </c>
      <c r="G5" s="4" t="s">
        <v>91</v>
      </c>
      <c r="H5" s="2">
        <v>750</v>
      </c>
      <c r="I5" s="4" t="s">
        <v>92</v>
      </c>
      <c r="J5" s="4" t="s">
        <v>93</v>
      </c>
      <c r="K5" s="4" t="s">
        <v>94</v>
      </c>
    </row>
    <row r="6" spans="3:11" x14ac:dyDescent="0.25">
      <c r="C6" s="4" t="s">
        <v>96</v>
      </c>
      <c r="D6" s="13">
        <v>46235</v>
      </c>
      <c r="E6" s="4" t="s">
        <v>18</v>
      </c>
      <c r="F6" s="4" t="s">
        <v>19</v>
      </c>
      <c r="G6" s="4" t="s">
        <v>91</v>
      </c>
      <c r="H6" s="2">
        <v>80</v>
      </c>
      <c r="I6" s="4" t="s">
        <v>92</v>
      </c>
      <c r="J6" s="4" t="s">
        <v>93</v>
      </c>
      <c r="K6" s="4" t="s">
        <v>97</v>
      </c>
    </row>
    <row r="7" spans="3:11" x14ac:dyDescent="0.25">
      <c r="C7" s="4" t="s">
        <v>98</v>
      </c>
      <c r="D7" s="13">
        <v>46235</v>
      </c>
      <c r="E7" s="4" t="s">
        <v>25</v>
      </c>
      <c r="F7" s="4" t="s">
        <v>19</v>
      </c>
      <c r="G7" s="4" t="s">
        <v>91</v>
      </c>
      <c r="H7" s="2">
        <v>120</v>
      </c>
      <c r="I7" s="4" t="s">
        <v>92</v>
      </c>
      <c r="J7" s="4" t="s">
        <v>93</v>
      </c>
      <c r="K7" s="4" t="s">
        <v>97</v>
      </c>
    </row>
    <row r="8" spans="3:11" x14ac:dyDescent="0.25">
      <c r="C8" s="4" t="s">
        <v>99</v>
      </c>
      <c r="D8" s="13">
        <v>46235</v>
      </c>
      <c r="E8" s="4" t="s">
        <v>28</v>
      </c>
      <c r="F8" s="4" t="s">
        <v>29</v>
      </c>
      <c r="G8" s="4" t="s">
        <v>91</v>
      </c>
      <c r="H8" s="2">
        <v>400</v>
      </c>
      <c r="I8" s="4" t="s">
        <v>92</v>
      </c>
      <c r="J8" s="4" t="s">
        <v>93</v>
      </c>
      <c r="K8" s="4" t="s">
        <v>100</v>
      </c>
    </row>
    <row r="9" spans="3:11" x14ac:dyDescent="0.25">
      <c r="C9" s="4" t="s">
        <v>101</v>
      </c>
      <c r="D9" s="13">
        <v>46235</v>
      </c>
      <c r="E9" s="4" t="s">
        <v>35</v>
      </c>
      <c r="F9" s="4" t="s">
        <v>29</v>
      </c>
      <c r="G9" s="4" t="s">
        <v>91</v>
      </c>
      <c r="H9" s="2">
        <v>350</v>
      </c>
      <c r="I9" s="4" t="s">
        <v>92</v>
      </c>
      <c r="J9" s="4" t="s">
        <v>93</v>
      </c>
      <c r="K9" s="4" t="s">
        <v>100</v>
      </c>
    </row>
    <row r="10" spans="3:11" x14ac:dyDescent="0.25">
      <c r="C10" s="4" t="s">
        <v>102</v>
      </c>
      <c r="D10" s="13">
        <v>46235</v>
      </c>
      <c r="E10" s="4" t="s">
        <v>37</v>
      </c>
      <c r="F10" s="4" t="s">
        <v>38</v>
      </c>
      <c r="G10" s="4" t="s">
        <v>91</v>
      </c>
      <c r="H10" s="2">
        <v>200</v>
      </c>
      <c r="I10" s="4" t="s">
        <v>92</v>
      </c>
      <c r="J10" s="4" t="s">
        <v>93</v>
      </c>
      <c r="K10" s="4" t="s">
        <v>103</v>
      </c>
    </row>
    <row r="11" spans="3:11" x14ac:dyDescent="0.25">
      <c r="C11" s="4" t="s">
        <v>104</v>
      </c>
      <c r="D11" s="13">
        <v>46235</v>
      </c>
      <c r="E11" s="4" t="s">
        <v>41</v>
      </c>
      <c r="F11" s="4" t="s">
        <v>38</v>
      </c>
      <c r="G11" s="4" t="s">
        <v>91</v>
      </c>
      <c r="H11" s="2">
        <v>150</v>
      </c>
      <c r="I11" s="4" t="s">
        <v>92</v>
      </c>
      <c r="J11" s="4" t="s">
        <v>93</v>
      </c>
      <c r="K11" s="4" t="s">
        <v>103</v>
      </c>
    </row>
    <row r="12" spans="3:11" x14ac:dyDescent="0.25">
      <c r="C12" s="4" t="s">
        <v>105</v>
      </c>
      <c r="D12" s="13">
        <v>46235</v>
      </c>
      <c r="E12" s="4" t="s">
        <v>43</v>
      </c>
      <c r="F12" s="4" t="s">
        <v>44</v>
      </c>
      <c r="G12" s="4" t="s">
        <v>91</v>
      </c>
      <c r="H12" s="2">
        <v>300</v>
      </c>
      <c r="I12" s="4" t="s">
        <v>92</v>
      </c>
      <c r="J12" s="4" t="s">
        <v>93</v>
      </c>
      <c r="K12" s="4" t="s">
        <v>106</v>
      </c>
    </row>
    <row r="13" spans="3:11" x14ac:dyDescent="0.25">
      <c r="C13" s="4" t="s">
        <v>107</v>
      </c>
      <c r="D13" s="13">
        <v>46235</v>
      </c>
      <c r="E13" s="4" t="s">
        <v>50</v>
      </c>
      <c r="F13" s="4" t="s">
        <v>44</v>
      </c>
      <c r="G13" s="4" t="s">
        <v>91</v>
      </c>
      <c r="H13" s="2">
        <v>250</v>
      </c>
      <c r="I13" s="4" t="s">
        <v>92</v>
      </c>
      <c r="J13" s="4" t="s">
        <v>93</v>
      </c>
      <c r="K13" s="4" t="s">
        <v>106</v>
      </c>
    </row>
    <row r="14" spans="3:11" x14ac:dyDescent="0.25">
      <c r="C14" s="4" t="s">
        <v>108</v>
      </c>
      <c r="D14" s="13">
        <v>46235</v>
      </c>
      <c r="E14" s="4" t="s">
        <v>52</v>
      </c>
      <c r="F14" s="4" t="s">
        <v>53</v>
      </c>
      <c r="G14" s="4" t="s">
        <v>91</v>
      </c>
      <c r="H14" s="2">
        <v>280</v>
      </c>
      <c r="I14" s="4" t="s">
        <v>92</v>
      </c>
      <c r="J14" s="4" t="s">
        <v>93</v>
      </c>
      <c r="K14" s="4" t="s">
        <v>109</v>
      </c>
    </row>
    <row r="15" spans="3:11" x14ac:dyDescent="0.25">
      <c r="C15" s="4" t="s">
        <v>110</v>
      </c>
      <c r="D15" s="13">
        <v>46235</v>
      </c>
      <c r="E15" s="4" t="s">
        <v>57</v>
      </c>
      <c r="F15" s="4" t="s">
        <v>53</v>
      </c>
      <c r="G15" s="4" t="s">
        <v>91</v>
      </c>
      <c r="H15" s="2">
        <v>220</v>
      </c>
      <c r="I15" s="4" t="s">
        <v>92</v>
      </c>
      <c r="J15" s="4" t="s">
        <v>93</v>
      </c>
      <c r="K15" s="4" t="s">
        <v>109</v>
      </c>
    </row>
    <row r="16" spans="3:11" x14ac:dyDescent="0.25">
      <c r="C16" s="4" t="s">
        <v>111</v>
      </c>
      <c r="D16" s="13">
        <v>46235</v>
      </c>
      <c r="E16" s="4" t="s">
        <v>59</v>
      </c>
      <c r="F16" s="4" t="s">
        <v>60</v>
      </c>
      <c r="G16" s="4" t="s">
        <v>91</v>
      </c>
      <c r="H16" s="2">
        <v>100</v>
      </c>
      <c r="I16" s="4" t="s">
        <v>92</v>
      </c>
      <c r="J16" s="4" t="s">
        <v>93</v>
      </c>
      <c r="K16" s="4" t="s">
        <v>112</v>
      </c>
    </row>
    <row r="17" spans="3:11" x14ac:dyDescent="0.25">
      <c r="C17" s="4" t="s">
        <v>113</v>
      </c>
      <c r="D17" s="13">
        <v>46235</v>
      </c>
      <c r="E17" s="4" t="s">
        <v>63</v>
      </c>
      <c r="F17" s="4" t="s">
        <v>60</v>
      </c>
      <c r="G17" s="4" t="s">
        <v>91</v>
      </c>
      <c r="H17" s="2">
        <v>180</v>
      </c>
      <c r="I17" s="4" t="s">
        <v>92</v>
      </c>
      <c r="J17" s="4" t="s">
        <v>93</v>
      </c>
      <c r="K17" s="4" t="s">
        <v>112</v>
      </c>
    </row>
    <row r="18" spans="3:11" x14ac:dyDescent="0.25">
      <c r="C18" s="4" t="s">
        <v>114</v>
      </c>
      <c r="D18" s="13">
        <v>46235</v>
      </c>
      <c r="E18" s="4" t="s">
        <v>65</v>
      </c>
      <c r="F18" s="4" t="s">
        <v>66</v>
      </c>
      <c r="G18" s="4" t="s">
        <v>91</v>
      </c>
      <c r="H18" s="2">
        <v>320</v>
      </c>
      <c r="I18" s="4" t="s">
        <v>92</v>
      </c>
      <c r="J18" s="4" t="s">
        <v>93</v>
      </c>
      <c r="K18" s="4" t="s">
        <v>115</v>
      </c>
    </row>
    <row r="19" spans="3:11" x14ac:dyDescent="0.25">
      <c r="C19" s="4" t="s">
        <v>116</v>
      </c>
      <c r="D19" s="13">
        <v>46235</v>
      </c>
      <c r="E19" s="4" t="s">
        <v>69</v>
      </c>
      <c r="F19" s="4" t="s">
        <v>66</v>
      </c>
      <c r="G19" s="4" t="s">
        <v>91</v>
      </c>
      <c r="H19" s="2">
        <v>250</v>
      </c>
      <c r="I19" s="4" t="s">
        <v>92</v>
      </c>
      <c r="J19" s="4" t="s">
        <v>93</v>
      </c>
      <c r="K19" s="4" t="s">
        <v>115</v>
      </c>
    </row>
    <row r="20" spans="3:11" x14ac:dyDescent="0.25">
      <c r="C20" s="4" t="s">
        <v>117</v>
      </c>
      <c r="D20" s="13">
        <v>46235</v>
      </c>
      <c r="E20" s="4" t="s">
        <v>73</v>
      </c>
      <c r="F20" s="4" t="s">
        <v>19</v>
      </c>
      <c r="G20" s="4" t="s">
        <v>91</v>
      </c>
      <c r="H20" s="2">
        <v>150</v>
      </c>
      <c r="I20" s="4" t="s">
        <v>92</v>
      </c>
      <c r="J20" s="4" t="s">
        <v>93</v>
      </c>
      <c r="K20" s="4" t="s">
        <v>97</v>
      </c>
    </row>
    <row r="21" spans="3:11" x14ac:dyDescent="0.25">
      <c r="C21" s="4" t="s">
        <v>118</v>
      </c>
      <c r="D21" s="13">
        <v>46235</v>
      </c>
      <c r="E21" s="4" t="s">
        <v>77</v>
      </c>
      <c r="F21" s="4" t="s">
        <v>38</v>
      </c>
      <c r="G21" s="4" t="s">
        <v>91</v>
      </c>
      <c r="H21" s="2">
        <v>100</v>
      </c>
      <c r="I21" s="4" t="s">
        <v>92</v>
      </c>
      <c r="J21" s="4" t="s">
        <v>93</v>
      </c>
      <c r="K21" s="4" t="s">
        <v>103</v>
      </c>
    </row>
    <row r="22" spans="3:11" x14ac:dyDescent="0.25">
      <c r="C22" s="4" t="s">
        <v>119</v>
      </c>
      <c r="D22" s="13">
        <v>46235</v>
      </c>
      <c r="E22" s="4" t="s">
        <v>79</v>
      </c>
      <c r="F22" s="4" t="s">
        <v>29</v>
      </c>
      <c r="G22" s="4" t="s">
        <v>91</v>
      </c>
      <c r="H22" s="2">
        <v>300</v>
      </c>
      <c r="I22" s="4" t="s">
        <v>92</v>
      </c>
      <c r="J22" s="4" t="s">
        <v>93</v>
      </c>
      <c r="K22" s="4" t="s">
        <v>100</v>
      </c>
    </row>
    <row r="23" spans="3:11" x14ac:dyDescent="0.25">
      <c r="C23" s="4" t="s">
        <v>120</v>
      </c>
      <c r="D23" s="13">
        <v>46235</v>
      </c>
      <c r="E23" s="4" t="s">
        <v>81</v>
      </c>
      <c r="F23" s="4" t="s">
        <v>10</v>
      </c>
      <c r="G23" s="4" t="s">
        <v>91</v>
      </c>
      <c r="H23" s="2">
        <v>900</v>
      </c>
      <c r="I23" s="4" t="s">
        <v>92</v>
      </c>
      <c r="J23" s="4" t="s">
        <v>93</v>
      </c>
      <c r="K23" s="4" t="s">
        <v>94</v>
      </c>
    </row>
    <row r="24" spans="3:11" x14ac:dyDescent="0.25">
      <c r="C24" s="4" t="s">
        <v>121</v>
      </c>
      <c r="D24" s="13">
        <v>46236</v>
      </c>
      <c r="E24" s="4" t="s">
        <v>9</v>
      </c>
      <c r="F24" s="4" t="s">
        <v>10</v>
      </c>
      <c r="G24" s="4" t="s">
        <v>122</v>
      </c>
      <c r="H24" s="2">
        <v>150</v>
      </c>
      <c r="I24" s="4" t="s">
        <v>123</v>
      </c>
      <c r="J24" s="4" t="s">
        <v>93</v>
      </c>
      <c r="K24" s="4" t="s">
        <v>94</v>
      </c>
    </row>
    <row r="25" spans="3:11" x14ac:dyDescent="0.25">
      <c r="C25" s="4" t="s">
        <v>124</v>
      </c>
      <c r="D25" s="13">
        <v>46236</v>
      </c>
      <c r="E25" s="4" t="s">
        <v>16</v>
      </c>
      <c r="F25" s="4" t="s">
        <v>10</v>
      </c>
      <c r="G25" s="4" t="s">
        <v>122</v>
      </c>
      <c r="H25" s="2">
        <v>300</v>
      </c>
      <c r="I25" s="4" t="s">
        <v>125</v>
      </c>
      <c r="J25" s="4" t="s">
        <v>93</v>
      </c>
      <c r="K25" s="4" t="s">
        <v>94</v>
      </c>
    </row>
    <row r="26" spans="3:11" x14ac:dyDescent="0.25">
      <c r="C26" s="4" t="s">
        <v>126</v>
      </c>
      <c r="D26" s="13">
        <v>46236</v>
      </c>
      <c r="E26" s="4" t="s">
        <v>18</v>
      </c>
      <c r="F26" s="4" t="s">
        <v>19</v>
      </c>
      <c r="G26" s="4" t="s">
        <v>122</v>
      </c>
      <c r="H26" s="2">
        <v>30</v>
      </c>
      <c r="I26" s="4" t="s">
        <v>127</v>
      </c>
      <c r="J26" s="4" t="s">
        <v>93</v>
      </c>
      <c r="K26" s="4" t="s">
        <v>97</v>
      </c>
    </row>
    <row r="27" spans="3:11" x14ac:dyDescent="0.25">
      <c r="C27" s="4" t="s">
        <v>128</v>
      </c>
      <c r="D27" s="13">
        <v>46236</v>
      </c>
      <c r="E27" s="4" t="s">
        <v>28</v>
      </c>
      <c r="F27" s="4" t="s">
        <v>29</v>
      </c>
      <c r="G27" s="4" t="s">
        <v>122</v>
      </c>
      <c r="H27" s="2">
        <v>120</v>
      </c>
      <c r="I27" s="4" t="s">
        <v>129</v>
      </c>
      <c r="J27" s="4" t="s">
        <v>93</v>
      </c>
      <c r="K27" s="4" t="s">
        <v>100</v>
      </c>
    </row>
    <row r="28" spans="3:11" x14ac:dyDescent="0.25">
      <c r="C28" s="4" t="s">
        <v>130</v>
      </c>
      <c r="D28" s="13">
        <v>46237</v>
      </c>
      <c r="E28" s="4" t="s">
        <v>9</v>
      </c>
      <c r="F28" s="4" t="s">
        <v>10</v>
      </c>
      <c r="G28" s="4" t="s">
        <v>131</v>
      </c>
      <c r="H28" s="2">
        <v>80</v>
      </c>
      <c r="I28" s="4" t="s">
        <v>132</v>
      </c>
      <c r="J28" s="4" t="s">
        <v>93</v>
      </c>
      <c r="K28" s="4" t="s">
        <v>94</v>
      </c>
    </row>
    <row r="29" spans="3:11" x14ac:dyDescent="0.25">
      <c r="C29" s="4" t="s">
        <v>133</v>
      </c>
      <c r="D29" s="13">
        <v>46237</v>
      </c>
      <c r="E29" s="4" t="s">
        <v>16</v>
      </c>
      <c r="F29" s="4" t="s">
        <v>10</v>
      </c>
      <c r="G29" s="4" t="s">
        <v>131</v>
      </c>
      <c r="H29" s="2">
        <v>150</v>
      </c>
      <c r="I29" s="4" t="s">
        <v>134</v>
      </c>
      <c r="J29" s="4" t="s">
        <v>93</v>
      </c>
      <c r="K29" s="4" t="s">
        <v>94</v>
      </c>
    </row>
    <row r="30" spans="3:11" x14ac:dyDescent="0.25">
      <c r="C30" s="4" t="s">
        <v>135</v>
      </c>
      <c r="D30" s="13">
        <v>46237</v>
      </c>
      <c r="E30" s="4" t="s">
        <v>37</v>
      </c>
      <c r="F30" s="4" t="s">
        <v>38</v>
      </c>
      <c r="G30" s="4" t="s">
        <v>131</v>
      </c>
      <c r="H30" s="2">
        <v>40</v>
      </c>
      <c r="I30" s="4" t="s">
        <v>136</v>
      </c>
      <c r="J30" s="4" t="s">
        <v>93</v>
      </c>
      <c r="K30" s="4" t="s">
        <v>103</v>
      </c>
    </row>
    <row r="31" spans="3:11" x14ac:dyDescent="0.25">
      <c r="C31" s="4" t="s">
        <v>137</v>
      </c>
      <c r="D31" s="13">
        <v>46237</v>
      </c>
      <c r="E31" s="4" t="s">
        <v>41</v>
      </c>
      <c r="F31" s="4" t="s">
        <v>38</v>
      </c>
      <c r="G31" s="4" t="s">
        <v>131</v>
      </c>
      <c r="H31" s="2">
        <v>25</v>
      </c>
      <c r="I31" s="4" t="s">
        <v>138</v>
      </c>
      <c r="J31" s="4" t="s">
        <v>93</v>
      </c>
      <c r="K31" s="4" t="s">
        <v>103</v>
      </c>
    </row>
    <row r="32" spans="3:11" x14ac:dyDescent="0.25">
      <c r="C32" s="4" t="s">
        <v>139</v>
      </c>
      <c r="D32" s="13">
        <v>46238</v>
      </c>
      <c r="E32" s="4" t="s">
        <v>18</v>
      </c>
      <c r="F32" s="4" t="s">
        <v>19</v>
      </c>
      <c r="G32" s="4" t="s">
        <v>131</v>
      </c>
      <c r="H32" s="2">
        <v>12</v>
      </c>
      <c r="I32" s="4" t="s">
        <v>140</v>
      </c>
      <c r="J32" s="4" t="s">
        <v>93</v>
      </c>
      <c r="K32" s="4" t="s">
        <v>97</v>
      </c>
    </row>
    <row r="33" spans="3:11" x14ac:dyDescent="0.25">
      <c r="C33" s="4" t="s">
        <v>141</v>
      </c>
      <c r="D33" s="13">
        <v>46238</v>
      </c>
      <c r="E33" s="4" t="s">
        <v>25</v>
      </c>
      <c r="F33" s="4" t="s">
        <v>19</v>
      </c>
      <c r="G33" s="4" t="s">
        <v>131</v>
      </c>
      <c r="H33" s="2">
        <v>20</v>
      </c>
      <c r="I33" s="4" t="s">
        <v>142</v>
      </c>
      <c r="J33" s="4" t="s">
        <v>93</v>
      </c>
      <c r="K33" s="4" t="s">
        <v>97</v>
      </c>
    </row>
    <row r="34" spans="3:11" x14ac:dyDescent="0.25">
      <c r="C34" s="4" t="s">
        <v>143</v>
      </c>
      <c r="D34" s="13">
        <v>46238</v>
      </c>
      <c r="E34" s="4" t="s">
        <v>43</v>
      </c>
      <c r="F34" s="4" t="s">
        <v>44</v>
      </c>
      <c r="G34" s="4" t="s">
        <v>131</v>
      </c>
      <c r="H34" s="2">
        <v>70</v>
      </c>
      <c r="I34" s="4" t="s">
        <v>144</v>
      </c>
      <c r="J34" s="4" t="s">
        <v>93</v>
      </c>
      <c r="K34" s="4" t="s">
        <v>106</v>
      </c>
    </row>
    <row r="35" spans="3:11" x14ac:dyDescent="0.25">
      <c r="C35" s="4" t="s">
        <v>145</v>
      </c>
      <c r="D35" s="13">
        <v>46238</v>
      </c>
      <c r="E35" s="4" t="s">
        <v>50</v>
      </c>
      <c r="F35" s="4" t="s">
        <v>44</v>
      </c>
      <c r="G35" s="4" t="s">
        <v>131</v>
      </c>
      <c r="H35" s="2">
        <v>45</v>
      </c>
      <c r="I35" s="4" t="s">
        <v>146</v>
      </c>
      <c r="J35" s="4" t="s">
        <v>93</v>
      </c>
      <c r="K35" s="4" t="s">
        <v>106</v>
      </c>
    </row>
    <row r="36" spans="3:11" x14ac:dyDescent="0.25">
      <c r="C36" s="4" t="s">
        <v>147</v>
      </c>
      <c r="D36" s="13">
        <v>46239</v>
      </c>
      <c r="E36" s="4" t="s">
        <v>28</v>
      </c>
      <c r="F36" s="4" t="s">
        <v>29</v>
      </c>
      <c r="G36" s="4" t="s">
        <v>131</v>
      </c>
      <c r="H36" s="2">
        <v>60</v>
      </c>
      <c r="I36" s="4" t="s">
        <v>148</v>
      </c>
      <c r="J36" s="4" t="s">
        <v>93</v>
      </c>
      <c r="K36" s="4" t="s">
        <v>100</v>
      </c>
    </row>
    <row r="37" spans="3:11" x14ac:dyDescent="0.25">
      <c r="C37" s="4" t="s">
        <v>149</v>
      </c>
      <c r="D37" s="13">
        <v>46239</v>
      </c>
      <c r="E37" s="4" t="s">
        <v>35</v>
      </c>
      <c r="F37" s="4" t="s">
        <v>29</v>
      </c>
      <c r="G37" s="4" t="s">
        <v>131</v>
      </c>
      <c r="H37" s="2">
        <v>50</v>
      </c>
      <c r="I37" s="4" t="s">
        <v>150</v>
      </c>
      <c r="J37" s="4" t="s">
        <v>93</v>
      </c>
      <c r="K37" s="4" t="s">
        <v>100</v>
      </c>
    </row>
    <row r="38" spans="3:11" x14ac:dyDescent="0.25">
      <c r="C38" s="4" t="s">
        <v>151</v>
      </c>
      <c r="D38" s="13">
        <v>46239</v>
      </c>
      <c r="E38" s="4" t="s">
        <v>52</v>
      </c>
      <c r="F38" s="4" t="s">
        <v>53</v>
      </c>
      <c r="G38" s="4" t="s">
        <v>131</v>
      </c>
      <c r="H38" s="2">
        <v>55</v>
      </c>
      <c r="I38" s="4" t="s">
        <v>152</v>
      </c>
      <c r="J38" s="4" t="s">
        <v>93</v>
      </c>
      <c r="K38" s="4" t="s">
        <v>109</v>
      </c>
    </row>
    <row r="39" spans="3:11" x14ac:dyDescent="0.25">
      <c r="C39" s="4" t="s">
        <v>153</v>
      </c>
      <c r="D39" s="13">
        <v>46239</v>
      </c>
      <c r="E39" s="4" t="s">
        <v>57</v>
      </c>
      <c r="F39" s="4" t="s">
        <v>53</v>
      </c>
      <c r="G39" s="4" t="s">
        <v>131</v>
      </c>
      <c r="H39" s="2">
        <v>40</v>
      </c>
      <c r="I39" s="4" t="s">
        <v>154</v>
      </c>
      <c r="J39" s="4" t="s">
        <v>93</v>
      </c>
      <c r="K39" s="4" t="s">
        <v>109</v>
      </c>
    </row>
    <row r="40" spans="3:11" x14ac:dyDescent="0.25">
      <c r="C40" s="4" t="s">
        <v>155</v>
      </c>
      <c r="D40" s="13">
        <v>46240</v>
      </c>
      <c r="E40" s="4" t="s">
        <v>59</v>
      </c>
      <c r="F40" s="4" t="s">
        <v>60</v>
      </c>
      <c r="G40" s="4" t="s">
        <v>131</v>
      </c>
      <c r="H40" s="2">
        <v>15</v>
      </c>
      <c r="I40" s="4" t="s">
        <v>156</v>
      </c>
      <c r="J40" s="4" t="s">
        <v>93</v>
      </c>
      <c r="K40" s="4" t="s">
        <v>112</v>
      </c>
    </row>
    <row r="41" spans="3:11" x14ac:dyDescent="0.25">
      <c r="C41" s="4" t="s">
        <v>157</v>
      </c>
      <c r="D41" s="13">
        <v>46240</v>
      </c>
      <c r="E41" s="4" t="s">
        <v>63</v>
      </c>
      <c r="F41" s="4" t="s">
        <v>60</v>
      </c>
      <c r="G41" s="4" t="s">
        <v>131</v>
      </c>
      <c r="H41" s="2">
        <v>30</v>
      </c>
      <c r="I41" s="4" t="s">
        <v>158</v>
      </c>
      <c r="J41" s="4" t="s">
        <v>93</v>
      </c>
      <c r="K41" s="4" t="s">
        <v>112</v>
      </c>
    </row>
    <row r="42" spans="3:11" x14ac:dyDescent="0.25">
      <c r="C42" s="4" t="s">
        <v>159</v>
      </c>
      <c r="D42" s="13">
        <v>46240</v>
      </c>
      <c r="E42" s="4" t="s">
        <v>65</v>
      </c>
      <c r="F42" s="4" t="s">
        <v>66</v>
      </c>
      <c r="G42" s="4" t="s">
        <v>131</v>
      </c>
      <c r="H42" s="2">
        <v>65</v>
      </c>
      <c r="I42" s="4" t="s">
        <v>160</v>
      </c>
      <c r="J42" s="4" t="s">
        <v>93</v>
      </c>
      <c r="K42" s="4" t="s">
        <v>115</v>
      </c>
    </row>
    <row r="43" spans="3:11" x14ac:dyDescent="0.25">
      <c r="C43" s="4" t="s">
        <v>161</v>
      </c>
      <c r="D43" s="13">
        <v>46240</v>
      </c>
      <c r="E43" s="4" t="s">
        <v>69</v>
      </c>
      <c r="F43" s="4" t="s">
        <v>66</v>
      </c>
      <c r="G43" s="4" t="s">
        <v>131</v>
      </c>
      <c r="H43" s="2">
        <v>45</v>
      </c>
      <c r="I43" s="4" t="s">
        <v>162</v>
      </c>
      <c r="J43" s="4" t="s">
        <v>93</v>
      </c>
      <c r="K43" s="4" t="s">
        <v>115</v>
      </c>
    </row>
    <row r="44" spans="3:11" x14ac:dyDescent="0.25">
      <c r="C44" s="4" t="s">
        <v>163</v>
      </c>
      <c r="D44" s="13">
        <v>46241</v>
      </c>
      <c r="E44" s="4" t="s">
        <v>9</v>
      </c>
      <c r="F44" s="4" t="s">
        <v>10</v>
      </c>
      <c r="G44" s="4" t="s">
        <v>122</v>
      </c>
      <c r="H44" s="2">
        <v>200</v>
      </c>
      <c r="I44" s="4" t="s">
        <v>164</v>
      </c>
      <c r="J44" s="4" t="s">
        <v>93</v>
      </c>
      <c r="K44" s="4" t="s">
        <v>94</v>
      </c>
    </row>
    <row r="45" spans="3:11" x14ac:dyDescent="0.25">
      <c r="C45" s="4" t="s">
        <v>165</v>
      </c>
      <c r="D45" s="13">
        <v>46241</v>
      </c>
      <c r="E45" s="4" t="s">
        <v>37</v>
      </c>
      <c r="F45" s="4" t="s">
        <v>38</v>
      </c>
      <c r="G45" s="4" t="s">
        <v>122</v>
      </c>
      <c r="H45" s="2">
        <v>100</v>
      </c>
      <c r="I45" s="4" t="s">
        <v>166</v>
      </c>
      <c r="J45" s="4" t="s">
        <v>93</v>
      </c>
      <c r="K45" s="4" t="s">
        <v>103</v>
      </c>
    </row>
    <row r="46" spans="3:11" x14ac:dyDescent="0.25">
      <c r="C46" s="4" t="s">
        <v>167</v>
      </c>
      <c r="D46" s="13">
        <v>46241</v>
      </c>
      <c r="E46" s="4" t="s">
        <v>77</v>
      </c>
      <c r="F46" s="4" t="s">
        <v>38</v>
      </c>
      <c r="G46" s="4" t="s">
        <v>122</v>
      </c>
      <c r="H46" s="2">
        <v>60</v>
      </c>
      <c r="I46" s="4" t="s">
        <v>168</v>
      </c>
      <c r="J46" s="4" t="s">
        <v>93</v>
      </c>
      <c r="K46" s="4" t="s">
        <v>103</v>
      </c>
    </row>
    <row r="47" spans="3:11" x14ac:dyDescent="0.25">
      <c r="C47" s="4" t="s">
        <v>169</v>
      </c>
      <c r="D47" s="13">
        <v>46242</v>
      </c>
      <c r="E47" s="4" t="s">
        <v>73</v>
      </c>
      <c r="F47" s="4" t="s">
        <v>19</v>
      </c>
      <c r="G47" s="4" t="s">
        <v>131</v>
      </c>
      <c r="H47" s="2">
        <v>35</v>
      </c>
      <c r="I47" s="4" t="s">
        <v>170</v>
      </c>
      <c r="J47" s="4" t="s">
        <v>93</v>
      </c>
      <c r="K47" s="4" t="s">
        <v>97</v>
      </c>
    </row>
    <row r="48" spans="3:11" x14ac:dyDescent="0.25">
      <c r="C48" s="4" t="s">
        <v>171</v>
      </c>
      <c r="D48" s="13">
        <v>46242</v>
      </c>
      <c r="E48" s="4" t="s">
        <v>77</v>
      </c>
      <c r="F48" s="4" t="s">
        <v>38</v>
      </c>
      <c r="G48" s="4" t="s">
        <v>131</v>
      </c>
      <c r="H48" s="2">
        <v>20</v>
      </c>
      <c r="I48" s="4" t="s">
        <v>172</v>
      </c>
      <c r="J48" s="4" t="s">
        <v>93</v>
      </c>
      <c r="K48" s="4" t="s">
        <v>103</v>
      </c>
    </row>
    <row r="49" spans="3:11" x14ac:dyDescent="0.25">
      <c r="C49" s="4" t="s">
        <v>173</v>
      </c>
      <c r="D49" s="13">
        <v>46242</v>
      </c>
      <c r="E49" s="4" t="s">
        <v>79</v>
      </c>
      <c r="F49" s="4" t="s">
        <v>29</v>
      </c>
      <c r="G49" s="4" t="s">
        <v>131</v>
      </c>
      <c r="H49" s="2">
        <v>70</v>
      </c>
      <c r="I49" s="4" t="s">
        <v>174</v>
      </c>
      <c r="J49" s="4" t="s">
        <v>93</v>
      </c>
      <c r="K49" s="4" t="s">
        <v>100</v>
      </c>
    </row>
    <row r="50" spans="3:11" x14ac:dyDescent="0.25">
      <c r="C50" s="4" t="s">
        <v>175</v>
      </c>
      <c r="D50" s="13">
        <v>46242</v>
      </c>
      <c r="E50" s="4" t="s">
        <v>81</v>
      </c>
      <c r="F50" s="4" t="s">
        <v>10</v>
      </c>
      <c r="G50" s="4" t="s">
        <v>131</v>
      </c>
      <c r="H50" s="2">
        <v>180</v>
      </c>
      <c r="I50" s="4" t="s">
        <v>176</v>
      </c>
      <c r="J50" s="4" t="s">
        <v>93</v>
      </c>
      <c r="K50" s="4" t="s">
        <v>94</v>
      </c>
    </row>
    <row r="51" spans="3:11" x14ac:dyDescent="0.25">
      <c r="C51" s="4" t="s">
        <v>177</v>
      </c>
      <c r="D51" s="13">
        <v>46243</v>
      </c>
      <c r="E51" s="4" t="s">
        <v>16</v>
      </c>
      <c r="F51" s="4" t="s">
        <v>10</v>
      </c>
      <c r="G51" s="4" t="s">
        <v>131</v>
      </c>
      <c r="H51" s="2">
        <v>120</v>
      </c>
      <c r="I51" s="4" t="s">
        <v>178</v>
      </c>
      <c r="J51" s="4" t="s">
        <v>93</v>
      </c>
      <c r="K51" s="4" t="s">
        <v>94</v>
      </c>
    </row>
    <row r="52" spans="3:11" x14ac:dyDescent="0.25">
      <c r="C52" s="4" t="s">
        <v>179</v>
      </c>
      <c r="D52" s="13">
        <v>46243</v>
      </c>
      <c r="E52" s="4" t="s">
        <v>18</v>
      </c>
      <c r="F52" s="4" t="s">
        <v>19</v>
      </c>
      <c r="G52" s="4" t="s">
        <v>122</v>
      </c>
      <c r="H52" s="2">
        <v>25</v>
      </c>
      <c r="I52" s="4" t="s">
        <v>180</v>
      </c>
      <c r="J52" s="4" t="s">
        <v>93</v>
      </c>
      <c r="K52" s="4" t="s">
        <v>97</v>
      </c>
    </row>
    <row r="53" spans="3:11" x14ac:dyDescent="0.25">
      <c r="C53" s="4" t="s">
        <v>181</v>
      </c>
      <c r="D53" s="13">
        <v>46243</v>
      </c>
      <c r="E53" s="4" t="s">
        <v>25</v>
      </c>
      <c r="F53" s="4" t="s">
        <v>19</v>
      </c>
      <c r="G53" s="4" t="s">
        <v>122</v>
      </c>
      <c r="H53" s="2">
        <v>50</v>
      </c>
      <c r="I53" s="4" t="s">
        <v>182</v>
      </c>
      <c r="J53" s="4" t="s">
        <v>93</v>
      </c>
      <c r="K53" s="4" t="s">
        <v>97</v>
      </c>
    </row>
    <row r="54" spans="3:11" x14ac:dyDescent="0.25">
      <c r="C54" s="4" t="s">
        <v>183</v>
      </c>
      <c r="D54" s="13">
        <v>46244</v>
      </c>
      <c r="E54" s="4" t="s">
        <v>28</v>
      </c>
      <c r="F54" s="4" t="s">
        <v>29</v>
      </c>
      <c r="G54" s="4" t="s">
        <v>122</v>
      </c>
      <c r="H54" s="2">
        <v>100</v>
      </c>
      <c r="I54" s="4" t="s">
        <v>184</v>
      </c>
      <c r="J54" s="4" t="s">
        <v>93</v>
      </c>
      <c r="K54" s="4" t="s">
        <v>100</v>
      </c>
    </row>
    <row r="55" spans="3:11" x14ac:dyDescent="0.25">
      <c r="C55" s="4" t="s">
        <v>185</v>
      </c>
      <c r="D55" s="13">
        <v>46244</v>
      </c>
      <c r="E55" s="4" t="s">
        <v>35</v>
      </c>
      <c r="F55" s="4" t="s">
        <v>29</v>
      </c>
      <c r="G55" s="4" t="s">
        <v>122</v>
      </c>
      <c r="H55" s="2">
        <v>100</v>
      </c>
      <c r="I55" s="4" t="s">
        <v>186</v>
      </c>
      <c r="J55" s="4" t="s">
        <v>93</v>
      </c>
      <c r="K55" s="4" t="s">
        <v>100</v>
      </c>
    </row>
    <row r="56" spans="3:11" x14ac:dyDescent="0.25">
      <c r="C56" s="4" t="s">
        <v>187</v>
      </c>
      <c r="D56" s="13">
        <v>46244</v>
      </c>
      <c r="E56" s="4" t="s">
        <v>43</v>
      </c>
      <c r="F56" s="4" t="s">
        <v>44</v>
      </c>
      <c r="G56" s="4" t="s">
        <v>122</v>
      </c>
      <c r="H56" s="2">
        <v>150</v>
      </c>
      <c r="I56" s="4" t="s">
        <v>188</v>
      </c>
      <c r="J56" s="4" t="s">
        <v>93</v>
      </c>
      <c r="K56" s="4" t="s">
        <v>106</v>
      </c>
    </row>
    <row r="57" spans="3:11" x14ac:dyDescent="0.25">
      <c r="C57" s="4" t="s">
        <v>189</v>
      </c>
      <c r="D57" s="13">
        <v>46244</v>
      </c>
      <c r="E57" s="4" t="s">
        <v>50</v>
      </c>
      <c r="F57" s="4" t="s">
        <v>44</v>
      </c>
      <c r="G57" s="4" t="s">
        <v>122</v>
      </c>
      <c r="H57" s="2">
        <v>100</v>
      </c>
      <c r="I57" s="4" t="s">
        <v>190</v>
      </c>
      <c r="J57" s="4" t="s">
        <v>93</v>
      </c>
      <c r="K57" s="4" t="s">
        <v>106</v>
      </c>
    </row>
    <row r="58" spans="3:11" x14ac:dyDescent="0.25">
      <c r="C58" s="4" t="s">
        <v>191</v>
      </c>
      <c r="D58" s="13">
        <v>46245</v>
      </c>
      <c r="E58" s="4" t="s">
        <v>9</v>
      </c>
      <c r="F58" s="4" t="s">
        <v>10</v>
      </c>
      <c r="G58" s="4" t="s">
        <v>131</v>
      </c>
      <c r="H58" s="2">
        <v>100</v>
      </c>
      <c r="I58" s="4" t="s">
        <v>192</v>
      </c>
      <c r="J58" s="4" t="s">
        <v>93</v>
      </c>
      <c r="K58" s="4" t="s">
        <v>94</v>
      </c>
    </row>
    <row r="59" spans="3:11" x14ac:dyDescent="0.25">
      <c r="C59" s="4" t="s">
        <v>193</v>
      </c>
      <c r="D59" s="13">
        <v>46245</v>
      </c>
      <c r="E59" s="4" t="s">
        <v>16</v>
      </c>
      <c r="F59" s="4" t="s">
        <v>10</v>
      </c>
      <c r="G59" s="4" t="s">
        <v>131</v>
      </c>
      <c r="H59" s="2">
        <v>200</v>
      </c>
      <c r="I59" s="4" t="s">
        <v>194</v>
      </c>
      <c r="J59" s="4" t="s">
        <v>93</v>
      </c>
      <c r="K59" s="4" t="s">
        <v>94</v>
      </c>
    </row>
    <row r="60" spans="3:11" x14ac:dyDescent="0.25">
      <c r="C60" s="4" t="s">
        <v>195</v>
      </c>
      <c r="D60" s="13">
        <v>46245</v>
      </c>
      <c r="E60" s="4" t="s">
        <v>37</v>
      </c>
      <c r="F60" s="4" t="s">
        <v>38</v>
      </c>
      <c r="G60" s="4" t="s">
        <v>131</v>
      </c>
      <c r="H60" s="2">
        <v>75</v>
      </c>
      <c r="I60" s="4" t="s">
        <v>196</v>
      </c>
      <c r="J60" s="4" t="s">
        <v>93</v>
      </c>
      <c r="K60" s="4" t="s">
        <v>103</v>
      </c>
    </row>
    <row r="61" spans="3:11" x14ac:dyDescent="0.25">
      <c r="C61" s="4" t="s">
        <v>197</v>
      </c>
      <c r="D61" s="13">
        <v>46245</v>
      </c>
      <c r="E61" s="4" t="s">
        <v>41</v>
      </c>
      <c r="F61" s="4" t="s">
        <v>38</v>
      </c>
      <c r="G61" s="4" t="s">
        <v>131</v>
      </c>
      <c r="H61" s="2">
        <v>40</v>
      </c>
      <c r="I61" s="4" t="s">
        <v>198</v>
      </c>
      <c r="J61" s="4" t="s">
        <v>93</v>
      </c>
      <c r="K61" s="4" t="s">
        <v>103</v>
      </c>
    </row>
    <row r="62" spans="3:11" x14ac:dyDescent="0.25">
      <c r="C62" s="4" t="s">
        <v>199</v>
      </c>
      <c r="D62" s="13">
        <v>46246</v>
      </c>
      <c r="E62" s="4" t="s">
        <v>52</v>
      </c>
      <c r="F62" s="4" t="s">
        <v>53</v>
      </c>
      <c r="G62" s="4" t="s">
        <v>122</v>
      </c>
      <c r="H62" s="2">
        <v>120</v>
      </c>
      <c r="I62" s="4" t="s">
        <v>200</v>
      </c>
      <c r="J62" s="4" t="s">
        <v>93</v>
      </c>
      <c r="K62" s="4" t="s">
        <v>109</v>
      </c>
    </row>
    <row r="63" spans="3:11" x14ac:dyDescent="0.25">
      <c r="C63" s="4" t="s">
        <v>201</v>
      </c>
      <c r="D63" s="13">
        <v>46246</v>
      </c>
      <c r="E63" s="4" t="s">
        <v>57</v>
      </c>
      <c r="F63" s="4" t="s">
        <v>53</v>
      </c>
      <c r="G63" s="4" t="s">
        <v>122</v>
      </c>
      <c r="H63" s="2">
        <v>100</v>
      </c>
      <c r="I63" s="4" t="s">
        <v>202</v>
      </c>
      <c r="J63" s="4" t="s">
        <v>93</v>
      </c>
      <c r="K63" s="4" t="s">
        <v>109</v>
      </c>
    </row>
    <row r="64" spans="3:11" x14ac:dyDescent="0.25">
      <c r="C64" s="4" t="s">
        <v>203</v>
      </c>
      <c r="D64" s="13">
        <v>46246</v>
      </c>
      <c r="E64" s="4" t="s">
        <v>59</v>
      </c>
      <c r="F64" s="4" t="s">
        <v>60</v>
      </c>
      <c r="G64" s="4" t="s">
        <v>122</v>
      </c>
      <c r="H64" s="2">
        <v>50</v>
      </c>
      <c r="I64" s="4" t="s">
        <v>204</v>
      </c>
      <c r="J64" s="4" t="s">
        <v>93</v>
      </c>
      <c r="K64" s="4" t="s">
        <v>112</v>
      </c>
    </row>
    <row r="65" spans="3:11" x14ac:dyDescent="0.25">
      <c r="C65" s="4" t="s">
        <v>205</v>
      </c>
      <c r="D65" s="13">
        <v>46246</v>
      </c>
      <c r="E65" s="4" t="s">
        <v>63</v>
      </c>
      <c r="F65" s="4" t="s">
        <v>60</v>
      </c>
      <c r="G65" s="4" t="s">
        <v>122</v>
      </c>
      <c r="H65" s="2">
        <v>80</v>
      </c>
      <c r="I65" s="4" t="s">
        <v>206</v>
      </c>
      <c r="J65" s="4" t="s">
        <v>93</v>
      </c>
      <c r="K65" s="4" t="s">
        <v>112</v>
      </c>
    </row>
    <row r="66" spans="3:11" x14ac:dyDescent="0.25">
      <c r="C66" s="4" t="s">
        <v>207</v>
      </c>
      <c r="D66" s="13">
        <v>46247</v>
      </c>
      <c r="E66" s="4" t="s">
        <v>65</v>
      </c>
      <c r="F66" s="4" t="s">
        <v>66</v>
      </c>
      <c r="G66" s="4" t="s">
        <v>122</v>
      </c>
      <c r="H66" s="2">
        <v>100</v>
      </c>
      <c r="I66" s="4" t="s">
        <v>208</v>
      </c>
      <c r="J66" s="4" t="s">
        <v>93</v>
      </c>
      <c r="K66" s="4" t="s">
        <v>115</v>
      </c>
    </row>
    <row r="67" spans="3:11" x14ac:dyDescent="0.25">
      <c r="C67" s="4" t="s">
        <v>209</v>
      </c>
      <c r="D67" s="13">
        <v>46247</v>
      </c>
      <c r="E67" s="4" t="s">
        <v>69</v>
      </c>
      <c r="F67" s="4" t="s">
        <v>66</v>
      </c>
      <c r="G67" s="4" t="s">
        <v>122</v>
      </c>
      <c r="H67" s="2">
        <v>80</v>
      </c>
      <c r="I67" s="4" t="s">
        <v>210</v>
      </c>
      <c r="J67" s="4" t="s">
        <v>93</v>
      </c>
      <c r="K67" s="4" t="s">
        <v>115</v>
      </c>
    </row>
    <row r="68" spans="3:11" x14ac:dyDescent="0.25">
      <c r="C68" s="4" t="s">
        <v>211</v>
      </c>
      <c r="D68" s="13">
        <v>46247</v>
      </c>
      <c r="E68" s="4" t="s">
        <v>73</v>
      </c>
      <c r="F68" s="4" t="s">
        <v>19</v>
      </c>
      <c r="G68" s="4" t="s">
        <v>122</v>
      </c>
      <c r="H68" s="2">
        <v>75</v>
      </c>
      <c r="I68" s="4" t="s">
        <v>212</v>
      </c>
      <c r="J68" s="4" t="s">
        <v>93</v>
      </c>
      <c r="K68" s="4" t="s">
        <v>97</v>
      </c>
    </row>
    <row r="69" spans="3:11" x14ac:dyDescent="0.25">
      <c r="C69" s="4" t="s">
        <v>213</v>
      </c>
      <c r="D69" s="13">
        <v>46248</v>
      </c>
      <c r="E69" s="4" t="s">
        <v>9</v>
      </c>
      <c r="F69" s="4" t="s">
        <v>10</v>
      </c>
      <c r="G69" s="4" t="s">
        <v>131</v>
      </c>
      <c r="H69" s="2">
        <v>150</v>
      </c>
      <c r="I69" s="4" t="s">
        <v>214</v>
      </c>
      <c r="J69" s="4" t="s">
        <v>93</v>
      </c>
      <c r="K69" s="4" t="s">
        <v>94</v>
      </c>
    </row>
    <row r="70" spans="3:11" x14ac:dyDescent="0.25">
      <c r="C70" s="4" t="s">
        <v>215</v>
      </c>
      <c r="D70" s="13">
        <v>46248</v>
      </c>
      <c r="E70" s="4" t="s">
        <v>18</v>
      </c>
      <c r="F70" s="4" t="s">
        <v>19</v>
      </c>
      <c r="G70" s="4" t="s">
        <v>131</v>
      </c>
      <c r="H70" s="2">
        <v>18</v>
      </c>
      <c r="I70" s="4" t="s">
        <v>216</v>
      </c>
      <c r="J70" s="4" t="s">
        <v>93</v>
      </c>
      <c r="K70" s="4" t="s">
        <v>97</v>
      </c>
    </row>
    <row r="71" spans="3:11" x14ac:dyDescent="0.25">
      <c r="C71" s="4" t="s">
        <v>217</v>
      </c>
      <c r="D71" s="13">
        <v>46248</v>
      </c>
      <c r="E71" s="4" t="s">
        <v>25</v>
      </c>
      <c r="F71" s="4" t="s">
        <v>19</v>
      </c>
      <c r="G71" s="4" t="s">
        <v>131</v>
      </c>
      <c r="H71" s="2">
        <v>30</v>
      </c>
      <c r="I71" s="4" t="s">
        <v>218</v>
      </c>
      <c r="J71" s="4" t="s">
        <v>93</v>
      </c>
      <c r="K71" s="4" t="s">
        <v>97</v>
      </c>
    </row>
    <row r="72" spans="3:11" x14ac:dyDescent="0.25">
      <c r="C72" s="4" t="s">
        <v>219</v>
      </c>
      <c r="D72" s="13">
        <v>46248</v>
      </c>
      <c r="E72" s="4" t="s">
        <v>28</v>
      </c>
      <c r="F72" s="4" t="s">
        <v>29</v>
      </c>
      <c r="G72" s="4" t="s">
        <v>131</v>
      </c>
      <c r="H72" s="2">
        <v>90</v>
      </c>
      <c r="I72" s="4" t="s">
        <v>220</v>
      </c>
      <c r="J72" s="4" t="s">
        <v>93</v>
      </c>
      <c r="K72" s="4" t="s">
        <v>100</v>
      </c>
    </row>
    <row r="73" spans="3:11" x14ac:dyDescent="0.25">
      <c r="C73" s="4" t="s">
        <v>221</v>
      </c>
      <c r="D73" s="13">
        <v>46248</v>
      </c>
      <c r="E73" s="4" t="s">
        <v>35</v>
      </c>
      <c r="F73" s="4" t="s">
        <v>29</v>
      </c>
      <c r="G73" s="4" t="s">
        <v>131</v>
      </c>
      <c r="H73" s="2">
        <v>80</v>
      </c>
      <c r="I73" s="4" t="s">
        <v>222</v>
      </c>
      <c r="J73" s="4" t="s">
        <v>93</v>
      </c>
      <c r="K73" s="4" t="s">
        <v>100</v>
      </c>
    </row>
    <row r="74" spans="3:11" x14ac:dyDescent="0.25">
      <c r="C74" s="4" t="s">
        <v>223</v>
      </c>
      <c r="D74" s="13">
        <v>46249</v>
      </c>
      <c r="E74" s="4" t="s">
        <v>43</v>
      </c>
      <c r="F74" s="4" t="s">
        <v>44</v>
      </c>
      <c r="G74" s="4" t="s">
        <v>131</v>
      </c>
      <c r="H74" s="2">
        <v>100</v>
      </c>
      <c r="I74" s="4" t="s">
        <v>224</v>
      </c>
      <c r="J74" s="4" t="s">
        <v>93</v>
      </c>
      <c r="K74" s="4" t="s">
        <v>106</v>
      </c>
    </row>
    <row r="75" spans="3:11" x14ac:dyDescent="0.25">
      <c r="C75" s="4" t="s">
        <v>225</v>
      </c>
      <c r="D75" s="13">
        <v>46249</v>
      </c>
      <c r="E75" s="4" t="s">
        <v>50</v>
      </c>
      <c r="F75" s="4" t="s">
        <v>44</v>
      </c>
      <c r="G75" s="4" t="s">
        <v>131</v>
      </c>
      <c r="H75" s="2">
        <v>75</v>
      </c>
      <c r="I75" s="4" t="s">
        <v>226</v>
      </c>
      <c r="J75" s="4" t="s">
        <v>93</v>
      </c>
      <c r="K75" s="4" t="s">
        <v>106</v>
      </c>
    </row>
    <row r="76" spans="3:11" x14ac:dyDescent="0.25">
      <c r="C76" s="4" t="s">
        <v>227</v>
      </c>
      <c r="D76" s="13">
        <v>46249</v>
      </c>
      <c r="E76" s="4" t="s">
        <v>52</v>
      </c>
      <c r="F76" s="4" t="s">
        <v>53</v>
      </c>
      <c r="G76" s="4" t="s">
        <v>131</v>
      </c>
      <c r="H76" s="2">
        <v>80</v>
      </c>
      <c r="I76" s="4" t="s">
        <v>228</v>
      </c>
      <c r="J76" s="4" t="s">
        <v>93</v>
      </c>
      <c r="K76" s="4" t="s">
        <v>109</v>
      </c>
    </row>
    <row r="77" spans="3:11" x14ac:dyDescent="0.25">
      <c r="C77" s="4" t="s">
        <v>229</v>
      </c>
      <c r="D77" s="13">
        <v>46249</v>
      </c>
      <c r="E77" s="4" t="s">
        <v>57</v>
      </c>
      <c r="F77" s="4" t="s">
        <v>53</v>
      </c>
      <c r="G77" s="4" t="s">
        <v>131</v>
      </c>
      <c r="H77" s="2">
        <v>65</v>
      </c>
      <c r="I77" s="4" t="s">
        <v>230</v>
      </c>
      <c r="J77" s="4" t="s">
        <v>93</v>
      </c>
      <c r="K77" s="4" t="s">
        <v>109</v>
      </c>
    </row>
    <row r="78" spans="3:11" x14ac:dyDescent="0.25">
      <c r="C78" s="4" t="s">
        <v>231</v>
      </c>
      <c r="D78" s="13">
        <v>46250</v>
      </c>
      <c r="E78" s="4" t="s">
        <v>77</v>
      </c>
      <c r="F78" s="4" t="s">
        <v>38</v>
      </c>
      <c r="G78" s="4" t="s">
        <v>131</v>
      </c>
      <c r="H78" s="2">
        <v>35</v>
      </c>
      <c r="I78" s="4" t="s">
        <v>232</v>
      </c>
      <c r="J78" s="4" t="s">
        <v>93</v>
      </c>
      <c r="K78" s="4" t="s">
        <v>103</v>
      </c>
    </row>
    <row r="79" spans="3:11" x14ac:dyDescent="0.25">
      <c r="C79" s="4" t="s">
        <v>233</v>
      </c>
      <c r="D79" s="13">
        <v>46250</v>
      </c>
      <c r="E79" s="4" t="s">
        <v>79</v>
      </c>
      <c r="F79" s="4" t="s">
        <v>29</v>
      </c>
      <c r="G79" s="4" t="s">
        <v>122</v>
      </c>
      <c r="H79" s="2">
        <v>120</v>
      </c>
      <c r="I79" s="4" t="s">
        <v>234</v>
      </c>
      <c r="J79" s="4" t="s">
        <v>93</v>
      </c>
      <c r="K79" s="4" t="s">
        <v>100</v>
      </c>
    </row>
    <row r="80" spans="3:11" x14ac:dyDescent="0.25">
      <c r="C80" s="4" t="s">
        <v>235</v>
      </c>
      <c r="D80" s="13">
        <v>46250</v>
      </c>
      <c r="E80" s="4" t="s">
        <v>81</v>
      </c>
      <c r="F80" s="4" t="s">
        <v>10</v>
      </c>
      <c r="G80" s="4" t="s">
        <v>122</v>
      </c>
      <c r="H80" s="2">
        <v>300</v>
      </c>
      <c r="I80" s="4" t="s">
        <v>236</v>
      </c>
      <c r="J80" s="4" t="s">
        <v>93</v>
      </c>
      <c r="K80" s="4" t="s">
        <v>94</v>
      </c>
    </row>
    <row r="81" spans="3:11" x14ac:dyDescent="0.25">
      <c r="C81" s="4" t="s">
        <v>237</v>
      </c>
      <c r="D81" s="13">
        <v>46250</v>
      </c>
      <c r="E81" s="4" t="s">
        <v>41</v>
      </c>
      <c r="F81" s="4" t="s">
        <v>38</v>
      </c>
      <c r="G81" s="4" t="s">
        <v>122</v>
      </c>
      <c r="H81" s="2">
        <v>80</v>
      </c>
      <c r="I81" s="4" t="s">
        <v>238</v>
      </c>
      <c r="J81" s="4" t="s">
        <v>93</v>
      </c>
      <c r="K81" s="4" t="s">
        <v>103</v>
      </c>
    </row>
    <row r="82" spans="3:11" x14ac:dyDescent="0.25">
      <c r="C82" s="4" t="s">
        <v>239</v>
      </c>
      <c r="D82" s="13">
        <v>46251</v>
      </c>
      <c r="E82" s="4" t="s">
        <v>16</v>
      </c>
      <c r="F82" s="4" t="s">
        <v>10</v>
      </c>
      <c r="G82" s="4" t="s">
        <v>122</v>
      </c>
      <c r="H82" s="2">
        <v>250</v>
      </c>
      <c r="I82" s="4" t="s">
        <v>240</v>
      </c>
      <c r="J82" s="4" t="s">
        <v>93</v>
      </c>
      <c r="K82" s="4" t="s">
        <v>94</v>
      </c>
    </row>
    <row r="83" spans="3:11" x14ac:dyDescent="0.25">
      <c r="C83" s="4" t="s">
        <v>241</v>
      </c>
      <c r="D83" s="13">
        <v>46251</v>
      </c>
      <c r="E83" s="4" t="s">
        <v>37</v>
      </c>
      <c r="F83" s="4" t="s">
        <v>38</v>
      </c>
      <c r="G83" s="4" t="s">
        <v>131</v>
      </c>
      <c r="H83" s="2">
        <v>60</v>
      </c>
      <c r="I83" s="4" t="s">
        <v>242</v>
      </c>
      <c r="J83" s="4" t="s">
        <v>93</v>
      </c>
      <c r="K83" s="4" t="s">
        <v>103</v>
      </c>
    </row>
    <row r="84" spans="3:11" x14ac:dyDescent="0.25">
      <c r="C84" s="4" t="s">
        <v>243</v>
      </c>
      <c r="D84" s="13">
        <v>46251</v>
      </c>
      <c r="E84" s="4" t="s">
        <v>59</v>
      </c>
      <c r="F84" s="4" t="s">
        <v>60</v>
      </c>
      <c r="G84" s="4" t="s">
        <v>131</v>
      </c>
      <c r="H84" s="2">
        <v>35</v>
      </c>
      <c r="I84" s="4" t="s">
        <v>244</v>
      </c>
      <c r="J84" s="4" t="s">
        <v>93</v>
      </c>
      <c r="K84" s="4" t="s">
        <v>112</v>
      </c>
    </row>
    <row r="85" spans="3:11" x14ac:dyDescent="0.25">
      <c r="C85" s="4" t="s">
        <v>245</v>
      </c>
      <c r="D85" s="13">
        <v>46251</v>
      </c>
      <c r="E85" s="4" t="s">
        <v>63</v>
      </c>
      <c r="F85" s="4" t="s">
        <v>60</v>
      </c>
      <c r="G85" s="4" t="s">
        <v>131</v>
      </c>
      <c r="H85" s="2">
        <v>50</v>
      </c>
      <c r="I85" s="4" t="s">
        <v>246</v>
      </c>
      <c r="J85" s="4" t="s">
        <v>93</v>
      </c>
      <c r="K85" s="4" t="s">
        <v>112</v>
      </c>
    </row>
    <row r="86" spans="3:11" x14ac:dyDescent="0.25">
      <c r="C86" s="4" t="s">
        <v>247</v>
      </c>
      <c r="D86" s="13">
        <v>46251</v>
      </c>
      <c r="E86" s="4" t="s">
        <v>65</v>
      </c>
      <c r="F86" s="4" t="s">
        <v>66</v>
      </c>
      <c r="G86" s="4" t="s">
        <v>131</v>
      </c>
      <c r="H86" s="2">
        <v>85</v>
      </c>
      <c r="I86" s="4" t="s">
        <v>248</v>
      </c>
      <c r="J86" s="4" t="s">
        <v>93</v>
      </c>
      <c r="K86" s="4" t="s">
        <v>115</v>
      </c>
    </row>
    <row r="87" spans="3:11" x14ac:dyDescent="0.25">
      <c r="C87" s="4" t="s">
        <v>249</v>
      </c>
      <c r="D87" s="13">
        <v>46251</v>
      </c>
      <c r="E87" s="4" t="s">
        <v>69</v>
      </c>
      <c r="F87" s="4" t="s">
        <v>66</v>
      </c>
      <c r="G87" s="4" t="s">
        <v>131</v>
      </c>
      <c r="H87" s="2">
        <v>60</v>
      </c>
      <c r="I87" s="4" t="s">
        <v>250</v>
      </c>
      <c r="J87" s="4" t="s">
        <v>93</v>
      </c>
      <c r="K87" s="4" t="s">
        <v>115</v>
      </c>
    </row>
    <row r="88" spans="3:11" x14ac:dyDescent="0.25">
      <c r="C88" s="4" t="s">
        <v>251</v>
      </c>
      <c r="D88" s="13">
        <v>46252</v>
      </c>
      <c r="E88" s="4" t="s">
        <v>9</v>
      </c>
      <c r="F88" s="4" t="s">
        <v>10</v>
      </c>
      <c r="G88" s="4" t="s">
        <v>252</v>
      </c>
      <c r="H88" s="2">
        <v>8</v>
      </c>
      <c r="I88" s="4" t="s">
        <v>92</v>
      </c>
      <c r="J88" s="4" t="s">
        <v>93</v>
      </c>
      <c r="K88" s="4" t="s">
        <v>94</v>
      </c>
    </row>
    <row r="89" spans="3:11" x14ac:dyDescent="0.25">
      <c r="C89" s="4" t="s">
        <v>253</v>
      </c>
      <c r="D89" s="13">
        <v>46252</v>
      </c>
      <c r="E89" s="4" t="s">
        <v>28</v>
      </c>
      <c r="F89" s="4" t="s">
        <v>29</v>
      </c>
      <c r="G89" s="4" t="s">
        <v>252</v>
      </c>
      <c r="H89" s="2">
        <v>12</v>
      </c>
      <c r="I89" s="4" t="s">
        <v>92</v>
      </c>
      <c r="J89" s="4" t="s">
        <v>93</v>
      </c>
      <c r="K89" s="4" t="s">
        <v>100</v>
      </c>
    </row>
    <row r="90" spans="3:11" x14ac:dyDescent="0.25">
      <c r="C90" s="4" t="s">
        <v>254</v>
      </c>
      <c r="D90" s="13">
        <v>46252</v>
      </c>
      <c r="E90" s="4" t="s">
        <v>35</v>
      </c>
      <c r="F90" s="4" t="s">
        <v>29</v>
      </c>
      <c r="G90" s="4" t="s">
        <v>252</v>
      </c>
      <c r="H90" s="2">
        <v>10</v>
      </c>
      <c r="I90" s="4" t="s">
        <v>92</v>
      </c>
      <c r="J90" s="4" t="s">
        <v>93</v>
      </c>
      <c r="K90" s="4" t="s">
        <v>100</v>
      </c>
    </row>
    <row r="91" spans="3:11" x14ac:dyDescent="0.25">
      <c r="C91" s="4" t="s">
        <v>255</v>
      </c>
      <c r="D91" s="13">
        <v>46252</v>
      </c>
      <c r="E91" s="4" t="s">
        <v>43</v>
      </c>
      <c r="F91" s="4" t="s">
        <v>44</v>
      </c>
      <c r="G91" s="4" t="s">
        <v>252</v>
      </c>
      <c r="H91" s="2">
        <v>6</v>
      </c>
      <c r="I91" s="4" t="s">
        <v>92</v>
      </c>
      <c r="J91" s="4" t="s">
        <v>93</v>
      </c>
      <c r="K91" s="4" t="s">
        <v>106</v>
      </c>
    </row>
    <row r="92" spans="3:11" x14ac:dyDescent="0.25">
      <c r="C92" s="4" t="s">
        <v>256</v>
      </c>
      <c r="D92" s="13">
        <v>46252</v>
      </c>
      <c r="E92" s="4" t="s">
        <v>52</v>
      </c>
      <c r="F92" s="4" t="s">
        <v>53</v>
      </c>
      <c r="G92" s="4" t="s">
        <v>252</v>
      </c>
      <c r="H92" s="2">
        <v>5</v>
      </c>
      <c r="I92" s="4" t="s">
        <v>92</v>
      </c>
      <c r="J92" s="4" t="s">
        <v>93</v>
      </c>
      <c r="K92" s="4" t="s">
        <v>109</v>
      </c>
    </row>
    <row r="93" spans="3:11" x14ac:dyDescent="0.25">
      <c r="C93" s="4" t="s">
        <v>257</v>
      </c>
      <c r="D93" s="13">
        <v>46252</v>
      </c>
      <c r="E93" s="4" t="s">
        <v>73</v>
      </c>
      <c r="F93" s="4" t="s">
        <v>19</v>
      </c>
      <c r="G93" s="4" t="s">
        <v>131</v>
      </c>
      <c r="H93" s="2">
        <v>40</v>
      </c>
      <c r="I93" s="4" t="s">
        <v>258</v>
      </c>
      <c r="J93" s="4" t="s">
        <v>93</v>
      </c>
      <c r="K93" s="4" t="s">
        <v>97</v>
      </c>
    </row>
    <row r="94" spans="3:11" x14ac:dyDescent="0.25">
      <c r="C94" s="4" t="s">
        <v>259</v>
      </c>
      <c r="D94" s="13">
        <v>46252</v>
      </c>
      <c r="E94" s="4" t="s">
        <v>77</v>
      </c>
      <c r="F94" s="4" t="s">
        <v>38</v>
      </c>
      <c r="G94" s="4" t="s">
        <v>131</v>
      </c>
      <c r="H94" s="2">
        <v>15</v>
      </c>
      <c r="I94" s="4" t="s">
        <v>260</v>
      </c>
      <c r="J94" s="4" t="s">
        <v>93</v>
      </c>
      <c r="K94" s="4" t="s">
        <v>103</v>
      </c>
    </row>
    <row r="95" spans="3:11" x14ac:dyDescent="0.25">
      <c r="C95" s="4" t="s">
        <v>261</v>
      </c>
      <c r="D95" s="13">
        <v>46252</v>
      </c>
      <c r="E95" s="4" t="s">
        <v>79</v>
      </c>
      <c r="F95" s="4" t="s">
        <v>29</v>
      </c>
      <c r="G95" s="4" t="s">
        <v>131</v>
      </c>
      <c r="H95" s="2">
        <v>80</v>
      </c>
      <c r="I95" s="4" t="s">
        <v>262</v>
      </c>
      <c r="J95" s="4" t="s">
        <v>93</v>
      </c>
      <c r="K95" s="4" t="s">
        <v>100</v>
      </c>
    </row>
    <row r="96" spans="3:11" x14ac:dyDescent="0.25">
      <c r="C96" s="4" t="s">
        <v>263</v>
      </c>
      <c r="D96" s="13">
        <v>46252</v>
      </c>
      <c r="E96" s="4" t="s">
        <v>81</v>
      </c>
      <c r="F96" s="4" t="s">
        <v>10</v>
      </c>
      <c r="G96" s="4" t="s">
        <v>131</v>
      </c>
      <c r="H96" s="2">
        <v>220</v>
      </c>
      <c r="I96" s="4" t="s">
        <v>264</v>
      </c>
      <c r="J96" s="4" t="s">
        <v>93</v>
      </c>
      <c r="K96" s="4" t="s">
        <v>94</v>
      </c>
    </row>
    <row r="97" spans="3:11" x14ac:dyDescent="0.25">
      <c r="C97" s="4" t="s">
        <v>265</v>
      </c>
      <c r="D97" s="13">
        <v>46252</v>
      </c>
      <c r="E97" s="4" t="s">
        <v>16</v>
      </c>
      <c r="F97" s="4" t="s">
        <v>10</v>
      </c>
      <c r="G97" s="4" t="s">
        <v>131</v>
      </c>
      <c r="H97" s="2">
        <v>180</v>
      </c>
      <c r="I97" s="4" t="s">
        <v>266</v>
      </c>
      <c r="J97" s="4" t="s">
        <v>93</v>
      </c>
      <c r="K97" s="4" t="s">
        <v>94</v>
      </c>
    </row>
    <row r="98" spans="3:11" x14ac:dyDescent="0.25">
      <c r="C98" s="4" t="s">
        <v>267</v>
      </c>
      <c r="D98" s="13">
        <v>46252</v>
      </c>
      <c r="E98" s="4" t="s">
        <v>18</v>
      </c>
      <c r="F98" s="4" t="s">
        <v>19</v>
      </c>
      <c r="G98" s="4" t="s">
        <v>131</v>
      </c>
      <c r="H98" s="2">
        <v>15</v>
      </c>
      <c r="I98" s="4" t="s">
        <v>268</v>
      </c>
      <c r="J98" s="4" t="s">
        <v>93</v>
      </c>
      <c r="K98" s="4" t="s">
        <v>97</v>
      </c>
    </row>
    <row r="99" spans="3:11" x14ac:dyDescent="0.25">
      <c r="C99" s="4" t="s">
        <v>269</v>
      </c>
      <c r="D99" s="13">
        <v>46252</v>
      </c>
      <c r="E99" s="4" t="s">
        <v>25</v>
      </c>
      <c r="F99" s="4" t="s">
        <v>19</v>
      </c>
      <c r="G99" s="4" t="s">
        <v>131</v>
      </c>
      <c r="H99" s="2">
        <v>25</v>
      </c>
      <c r="I99" s="4" t="s">
        <v>270</v>
      </c>
      <c r="J99" s="4" t="s">
        <v>93</v>
      </c>
      <c r="K99" s="4" t="s">
        <v>97</v>
      </c>
    </row>
    <row r="100" spans="3:11" x14ac:dyDescent="0.25">
      <c r="C100" s="4" t="s">
        <v>271</v>
      </c>
      <c r="D100" s="13">
        <v>46252</v>
      </c>
      <c r="E100" s="4" t="s">
        <v>37</v>
      </c>
      <c r="F100" s="4" t="s">
        <v>38</v>
      </c>
      <c r="G100" s="4" t="s">
        <v>122</v>
      </c>
      <c r="H100" s="2">
        <v>100</v>
      </c>
      <c r="I100" s="4" t="s">
        <v>272</v>
      </c>
      <c r="J100" s="4" t="s">
        <v>93</v>
      </c>
      <c r="K100" s="4" t="s">
        <v>103</v>
      </c>
    </row>
    <row r="101" spans="3:11" x14ac:dyDescent="0.25">
      <c r="C101" s="4" t="s">
        <v>273</v>
      </c>
      <c r="D101" s="13">
        <v>46252</v>
      </c>
      <c r="E101" s="4" t="s">
        <v>41</v>
      </c>
      <c r="F101" s="4" t="s">
        <v>38</v>
      </c>
      <c r="G101" s="4" t="s">
        <v>131</v>
      </c>
      <c r="H101" s="2">
        <v>50</v>
      </c>
      <c r="I101" s="4" t="s">
        <v>274</v>
      </c>
      <c r="J101" s="4" t="s">
        <v>93</v>
      </c>
      <c r="K101" s="4" t="s">
        <v>103</v>
      </c>
    </row>
    <row r="102" spans="3:11" x14ac:dyDescent="0.25">
      <c r="C102" s="4" t="s">
        <v>275</v>
      </c>
      <c r="D102" s="13">
        <v>46252</v>
      </c>
      <c r="E102" s="4" t="s">
        <v>50</v>
      </c>
      <c r="F102" s="4" t="s">
        <v>44</v>
      </c>
      <c r="G102" s="4" t="s">
        <v>122</v>
      </c>
      <c r="H102" s="2">
        <v>80</v>
      </c>
      <c r="I102" s="4" t="s">
        <v>276</v>
      </c>
      <c r="J102" s="4" t="s">
        <v>93</v>
      </c>
      <c r="K102" s="4" t="s">
        <v>106</v>
      </c>
    </row>
    <row r="103" spans="3:11" x14ac:dyDescent="0.25">
      <c r="C103" s="4" t="s">
        <v>277</v>
      </c>
      <c r="D103" s="13">
        <v>46252</v>
      </c>
      <c r="E103" s="4" t="s">
        <v>57</v>
      </c>
      <c r="F103" s="4" t="s">
        <v>53</v>
      </c>
      <c r="G103" s="4" t="s">
        <v>131</v>
      </c>
      <c r="H103" s="2">
        <v>70</v>
      </c>
      <c r="I103" s="4" t="s">
        <v>278</v>
      </c>
      <c r="J103" s="4" t="s">
        <v>93</v>
      </c>
      <c r="K103" s="4" t="s">
        <v>109</v>
      </c>
    </row>
    <row r="104" spans="3:11" x14ac:dyDescent="0.25">
      <c r="C104" s="4" t="s">
        <v>285</v>
      </c>
      <c r="D104" s="13">
        <v>46253</v>
      </c>
      <c r="E104" s="4" t="s">
        <v>9</v>
      </c>
      <c r="F104" s="4" t="s">
        <v>10</v>
      </c>
      <c r="G104" s="4" t="s">
        <v>131</v>
      </c>
      <c r="H104" s="2">
        <v>500</v>
      </c>
      <c r="I104" s="4" t="s">
        <v>286</v>
      </c>
      <c r="J104" s="4" t="s">
        <v>93</v>
      </c>
      <c r="K104" s="4" t="s">
        <v>112</v>
      </c>
    </row>
    <row r="105" spans="3:11" x14ac:dyDescent="0.25">
      <c r="C105" s="4" t="s">
        <v>292</v>
      </c>
      <c r="D105" s="13">
        <v>46254</v>
      </c>
      <c r="E105" s="4" t="s">
        <v>57</v>
      </c>
      <c r="F105" s="4" t="s">
        <v>19</v>
      </c>
      <c r="G105" s="4" t="s">
        <v>131</v>
      </c>
      <c r="H105" s="2">
        <v>130</v>
      </c>
      <c r="I105" s="4" t="s">
        <v>293</v>
      </c>
      <c r="J105" s="4" t="s">
        <v>93</v>
      </c>
      <c r="K105" s="4" t="s">
        <v>115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CB6D-B91D-4102-A48C-74D9918C13D5}">
  <dimension ref="A1:M21"/>
  <sheetViews>
    <sheetView workbookViewId="0"/>
  </sheetViews>
  <sheetFormatPr defaultRowHeight="15" x14ac:dyDescent="0.25"/>
  <cols>
    <col min="1" max="1" width="12" bestFit="1" customWidth="1"/>
    <col min="2" max="2" width="11.5703125" customWidth="1"/>
    <col min="3" max="3" width="14.42578125" customWidth="1"/>
    <col min="4" max="4" width="18.28515625" customWidth="1"/>
    <col min="5" max="5" width="16.140625" customWidth="1"/>
    <col min="6" max="6" width="17" customWidth="1"/>
    <col min="7" max="7" width="18.85546875" customWidth="1"/>
    <col min="8" max="8" width="11.5703125" customWidth="1"/>
    <col min="9" max="9" width="15.42578125" customWidth="1"/>
    <col min="10" max="10" width="19.85546875" customWidth="1"/>
    <col min="11" max="11" width="17.42578125" customWidth="1"/>
    <col min="12" max="12" width="23" customWidth="1"/>
    <col min="13" max="13" width="14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91</v>
      </c>
      <c r="F1" s="3" t="s">
        <v>122</v>
      </c>
      <c r="G1" s="3" t="s">
        <v>281</v>
      </c>
      <c r="H1" s="3" t="s">
        <v>252</v>
      </c>
      <c r="I1" s="3" t="s">
        <v>282</v>
      </c>
      <c r="J1" s="3" t="s">
        <v>6</v>
      </c>
      <c r="K1" s="3" t="s">
        <v>8</v>
      </c>
      <c r="L1" s="3" t="s">
        <v>283</v>
      </c>
      <c r="M1" s="1" t="s">
        <v>284</v>
      </c>
    </row>
    <row r="2" spans="1:13" ht="30" x14ac:dyDescent="0.25">
      <c r="A2" s="4" t="s">
        <v>9</v>
      </c>
      <c r="B2" s="4" t="s">
        <v>10</v>
      </c>
      <c r="C2" s="4" t="s">
        <v>11</v>
      </c>
      <c r="D2" s="4" t="s">
        <v>12</v>
      </c>
      <c r="E2" s="2">
        <f>_xlfn.XLOOKUP(Table3[[#This Row],[SKU_ID]],Table2[SKU_ID],Table2[Quantity])</f>
        <v>500</v>
      </c>
      <c r="F2" s="2">
        <f>SUMIFS(Table2[Quantity],Table2[SKU_ID],Table3[[#This Row],[SKU_ID]],Table2[Transaction_Type],"Stock Received")</f>
        <v>350</v>
      </c>
      <c r="G2" s="2">
        <f>SUMIFS(Table2[Quantity],Table2[SKU_ID],Table3[[#This Row],[SKU_ID]],Table2[Transaction_Type],"Dispatched")</f>
        <v>830</v>
      </c>
      <c r="H2" s="2">
        <f>SUMIFS(Table2[Quantity],Table2[SKU_ID],Table3[[#This Row],[SKU_ID]],Table2[Transaction_Type],"Damaged")</f>
        <v>8</v>
      </c>
      <c r="I2" s="2">
        <f>SUM(Table3[[#This Row],[Opening Stock]],Table3[[#This Row],[Stock Received]])-SUM(Table3[[#This Row],[Stock Dispatched]],Table3[[#This Row],[Damaged]])</f>
        <v>12</v>
      </c>
      <c r="J2" s="2">
        <f>_xlfn.XLOOKUP(Table3[[#This Row],[SKU_ID]],Table1[SKU_ID],Table1[Reorder Threshold])</f>
        <v>50</v>
      </c>
      <c r="K2" s="2">
        <f>_xlfn.XLOOKUP(Table3[[#This Row],[SKU_ID]],Table1[SKU_ID],Table1[Unit Cost (GHS)])</f>
        <v>180</v>
      </c>
      <c r="L2" s="2">
        <f>Table3[[#This Row],[Closing Stock]]*Table3[[#This Row],[Unit Cost (GHS)]]</f>
        <v>2160</v>
      </c>
      <c r="M2" s="4" t="str">
        <f>IF(Table3[[#This Row],[Closing Stock]]&gt;=Table3[[#This Row],[Reorder Threshold]],"OK","LOW")</f>
        <v>LOW</v>
      </c>
    </row>
    <row r="3" spans="1:13" ht="30" x14ac:dyDescent="0.25">
      <c r="A3" s="4" t="s">
        <v>16</v>
      </c>
      <c r="B3" s="4" t="s">
        <v>10</v>
      </c>
      <c r="C3" s="4" t="s">
        <v>11</v>
      </c>
      <c r="D3" s="4" t="s">
        <v>17</v>
      </c>
      <c r="E3" s="2">
        <f>_xlfn.XLOOKUP(Table3[[#This Row],[SKU_ID]],Table2[SKU_ID],Table2[Quantity])</f>
        <v>750</v>
      </c>
      <c r="F3" s="2">
        <f>SUMIFS(Table2[Quantity],Table2[SKU_ID],Table3[[#This Row],[SKU_ID]],Table2[Transaction_Type],"Stock Received")</f>
        <v>550</v>
      </c>
      <c r="G3" s="2">
        <f>SUMIFS(Table2[Quantity],Table2[SKU_ID],Table3[[#This Row],[SKU_ID]],Table2[Transaction_Type],"Dispatched")</f>
        <v>650</v>
      </c>
      <c r="H3" s="2">
        <f>SUMIFS(Table2[Quantity],Table2[SKU_ID],Table3[[#This Row],[SKU_ID]],Table2[Transaction_Type],"Damaged")</f>
        <v>0</v>
      </c>
      <c r="I3" s="2">
        <f>SUM(Table3[[#This Row],[Opening Stock]],Table3[[#This Row],[Stock Received]])-SUM(Table3[[#This Row],[Stock Dispatched]],Table3[[#This Row],[Damaged]])</f>
        <v>650</v>
      </c>
      <c r="J3" s="2">
        <f>_xlfn.XLOOKUP(Table3[[#This Row],[SKU_ID]],Table1[SKU_ID],Table1[Reorder Threshold])</f>
        <v>100</v>
      </c>
      <c r="K3" s="2">
        <f>_xlfn.XLOOKUP(Table3[[#This Row],[SKU_ID]],Table1[SKU_ID],Table1[Unit Cost (GHS)])</f>
        <v>85</v>
      </c>
      <c r="L3" s="2">
        <f>Table3[[#This Row],[Closing Stock]]*Table3[[#This Row],[Unit Cost (GHS)]]</f>
        <v>55250</v>
      </c>
      <c r="M3" s="4" t="str">
        <f>IF(Table3[[#This Row],[Closing Stock]]&gt;=Table3[[#This Row],[Reorder Threshold]],"OK","LOW")</f>
        <v>OK</v>
      </c>
    </row>
    <row r="4" spans="1:13" ht="30" x14ac:dyDescent="0.25">
      <c r="A4" s="4" t="s">
        <v>18</v>
      </c>
      <c r="B4" s="4" t="s">
        <v>19</v>
      </c>
      <c r="C4" s="4" t="s">
        <v>20</v>
      </c>
      <c r="D4" s="4" t="s">
        <v>21</v>
      </c>
      <c r="E4" s="2">
        <f>_xlfn.XLOOKUP(Table3[[#This Row],[SKU_ID]],Table2[SKU_ID],Table2[Quantity])</f>
        <v>80</v>
      </c>
      <c r="F4" s="2">
        <f>SUMIFS(Table2[Quantity],Table2[SKU_ID],Table3[[#This Row],[SKU_ID]],Table2[Transaction_Type],"Stock Received")</f>
        <v>55</v>
      </c>
      <c r="G4" s="2">
        <f>SUMIFS(Table2[Quantity],Table2[SKU_ID],Table3[[#This Row],[SKU_ID]],Table2[Transaction_Type],"Dispatched")</f>
        <v>45</v>
      </c>
      <c r="H4" s="2">
        <f>SUMIFS(Table2[Quantity],Table2[SKU_ID],Table3[[#This Row],[SKU_ID]],Table2[Transaction_Type],"Damaged")</f>
        <v>0</v>
      </c>
      <c r="I4" s="2">
        <f>SUM(Table3[[#This Row],[Opening Stock]],Table3[[#This Row],[Stock Received]])-SUM(Table3[[#This Row],[Stock Dispatched]],Table3[[#This Row],[Damaged]])</f>
        <v>90</v>
      </c>
      <c r="J4" s="2">
        <f>_xlfn.XLOOKUP(Table3[[#This Row],[SKU_ID]],Table1[SKU_ID],Table1[Reorder Threshold])</f>
        <v>15</v>
      </c>
      <c r="K4" s="2">
        <f>_xlfn.XLOOKUP(Table3[[#This Row],[SKU_ID]],Table1[SKU_ID],Table1[Unit Cost (GHS)])</f>
        <v>1850</v>
      </c>
      <c r="L4" s="2">
        <f>Table3[[#This Row],[Closing Stock]]*Table3[[#This Row],[Unit Cost (GHS)]]</f>
        <v>166500</v>
      </c>
      <c r="M4" s="4" t="str">
        <f>IF(Table3[[#This Row],[Closing Stock]]&gt;=Table3[[#This Row],[Reorder Threshold]],"OK","LOW")</f>
        <v>OK</v>
      </c>
    </row>
    <row r="5" spans="1:13" ht="30" x14ac:dyDescent="0.25">
      <c r="A5" s="4" t="s">
        <v>25</v>
      </c>
      <c r="B5" s="4" t="s">
        <v>19</v>
      </c>
      <c r="C5" s="4" t="s">
        <v>20</v>
      </c>
      <c r="D5" s="4" t="s">
        <v>26</v>
      </c>
      <c r="E5" s="2">
        <f>_xlfn.XLOOKUP(Table3[[#This Row],[SKU_ID]],Table2[SKU_ID],Table2[Quantity])</f>
        <v>120</v>
      </c>
      <c r="F5" s="2">
        <f>SUMIFS(Table2[Quantity],Table2[SKU_ID],Table3[[#This Row],[SKU_ID]],Table2[Transaction_Type],"Stock Received")</f>
        <v>50</v>
      </c>
      <c r="G5" s="2">
        <f>SUMIFS(Table2[Quantity],Table2[SKU_ID],Table3[[#This Row],[SKU_ID]],Table2[Transaction_Type],"Dispatched")</f>
        <v>75</v>
      </c>
      <c r="H5" s="2">
        <f>SUMIFS(Table2[Quantity],Table2[SKU_ID],Table3[[#This Row],[SKU_ID]],Table2[Transaction_Type],"Damaged")</f>
        <v>0</v>
      </c>
      <c r="I5" s="2">
        <f>SUM(Table3[[#This Row],[Opening Stock]],Table3[[#This Row],[Stock Received]])-SUM(Table3[[#This Row],[Stock Dispatched]],Table3[[#This Row],[Damaged]])</f>
        <v>95</v>
      </c>
      <c r="J5" s="2">
        <f>_xlfn.XLOOKUP(Table3[[#This Row],[SKU_ID]],Table1[SKU_ID],Table1[Reorder Threshold])</f>
        <v>25</v>
      </c>
      <c r="K5" s="2">
        <f>_xlfn.XLOOKUP(Table3[[#This Row],[SKU_ID]],Table1[SKU_ID],Table1[Unit Cost (GHS)])</f>
        <v>220</v>
      </c>
      <c r="L5" s="2">
        <f>Table3[[#This Row],[Closing Stock]]*Table3[[#This Row],[Unit Cost (GHS)]]</f>
        <v>20900</v>
      </c>
      <c r="M5" s="4" t="str">
        <f>IF(Table3[[#This Row],[Closing Stock]]&gt;=Table3[[#This Row],[Reorder Threshold]],"OK","LOW")</f>
        <v>OK</v>
      </c>
    </row>
    <row r="6" spans="1:13" ht="45" x14ac:dyDescent="0.25">
      <c r="A6" s="4" t="s">
        <v>28</v>
      </c>
      <c r="B6" s="4" t="s">
        <v>29</v>
      </c>
      <c r="C6" s="4" t="s">
        <v>30</v>
      </c>
      <c r="D6" s="4" t="s">
        <v>31</v>
      </c>
      <c r="E6" s="2">
        <f>_xlfn.XLOOKUP(Table3[[#This Row],[SKU_ID]],Table2[SKU_ID],Table2[Quantity])</f>
        <v>400</v>
      </c>
      <c r="F6" s="2">
        <f>SUMIFS(Table2[Quantity],Table2[SKU_ID],Table3[[#This Row],[SKU_ID]],Table2[Transaction_Type],"Stock Received")</f>
        <v>220</v>
      </c>
      <c r="G6" s="2">
        <f>SUMIFS(Table2[Quantity],Table2[SKU_ID],Table3[[#This Row],[SKU_ID]],Table2[Transaction_Type],"Dispatched")</f>
        <v>150</v>
      </c>
      <c r="H6" s="2">
        <f>SUMIFS(Table2[Quantity],Table2[SKU_ID],Table3[[#This Row],[SKU_ID]],Table2[Transaction_Type],"Damaged")</f>
        <v>12</v>
      </c>
      <c r="I6" s="2">
        <f>SUM(Table3[[#This Row],[Opening Stock]],Table3[[#This Row],[Stock Received]])-SUM(Table3[[#This Row],[Stock Dispatched]],Table3[[#This Row],[Damaged]])</f>
        <v>458</v>
      </c>
      <c r="J6" s="2">
        <f>_xlfn.XLOOKUP(Table3[[#This Row],[SKU_ID]],Table1[SKU_ID],Table1[Reorder Threshold])</f>
        <v>80</v>
      </c>
      <c r="K6" s="2">
        <f>_xlfn.XLOOKUP(Table3[[#This Row],[SKU_ID]],Table1[SKU_ID],Table1[Unit Cost (GHS)])</f>
        <v>110</v>
      </c>
      <c r="L6" s="2">
        <f>Table3[[#This Row],[Closing Stock]]*Table3[[#This Row],[Unit Cost (GHS)]]</f>
        <v>50380</v>
      </c>
      <c r="M6" s="4" t="str">
        <f>IF(Table3[[#This Row],[Closing Stock]]&gt;=Table3[[#This Row],[Reorder Threshold]],"OK","LOW")</f>
        <v>OK</v>
      </c>
    </row>
    <row r="7" spans="1:13" ht="45" x14ac:dyDescent="0.25">
      <c r="A7" s="4" t="s">
        <v>35</v>
      </c>
      <c r="B7" s="4" t="s">
        <v>29</v>
      </c>
      <c r="C7" s="4" t="s">
        <v>30</v>
      </c>
      <c r="D7" s="4" t="s">
        <v>36</v>
      </c>
      <c r="E7" s="2">
        <f>_xlfn.XLOOKUP(Table3[[#This Row],[SKU_ID]],Table2[SKU_ID],Table2[Quantity])</f>
        <v>350</v>
      </c>
      <c r="F7" s="2">
        <f>SUMIFS(Table2[Quantity],Table2[SKU_ID],Table3[[#This Row],[SKU_ID]],Table2[Transaction_Type],"Stock Received")</f>
        <v>100</v>
      </c>
      <c r="G7" s="2">
        <f>SUMIFS(Table2[Quantity],Table2[SKU_ID],Table3[[#This Row],[SKU_ID]],Table2[Transaction_Type],"Dispatched")</f>
        <v>130</v>
      </c>
      <c r="H7" s="2">
        <f>SUMIFS(Table2[Quantity],Table2[SKU_ID],Table3[[#This Row],[SKU_ID]],Table2[Transaction_Type],"Damaged")</f>
        <v>10</v>
      </c>
      <c r="I7" s="2">
        <f>SUM(Table3[[#This Row],[Opening Stock]],Table3[[#This Row],[Stock Received]])-SUM(Table3[[#This Row],[Stock Dispatched]],Table3[[#This Row],[Damaged]])</f>
        <v>310</v>
      </c>
      <c r="J7" s="2">
        <f>_xlfn.XLOOKUP(Table3[[#This Row],[SKU_ID]],Table1[SKU_ID],Table1[Reorder Threshold])</f>
        <v>80</v>
      </c>
      <c r="K7" s="2">
        <f>_xlfn.XLOOKUP(Table3[[#This Row],[SKU_ID]],Table1[SKU_ID],Table1[Unit Cost (GHS)])</f>
        <v>110</v>
      </c>
      <c r="L7" s="2">
        <f>Table3[[#This Row],[Closing Stock]]*Table3[[#This Row],[Unit Cost (GHS)]]</f>
        <v>34100</v>
      </c>
      <c r="M7" s="4" t="str">
        <f>IF(Table3[[#This Row],[Closing Stock]]&gt;=Table3[[#This Row],[Reorder Threshold]],"OK","LOW")</f>
        <v>OK</v>
      </c>
    </row>
    <row r="8" spans="1:13" ht="30" x14ac:dyDescent="0.25">
      <c r="A8" s="4" t="s">
        <v>37</v>
      </c>
      <c r="B8" s="4" t="s">
        <v>38</v>
      </c>
      <c r="C8" s="4" t="s">
        <v>39</v>
      </c>
      <c r="D8" s="4" t="s">
        <v>40</v>
      </c>
      <c r="E8" s="2">
        <f>_xlfn.XLOOKUP(Table3[[#This Row],[SKU_ID]],Table2[SKU_ID],Table2[Quantity])</f>
        <v>200</v>
      </c>
      <c r="F8" s="2">
        <f>SUMIFS(Table2[Quantity],Table2[SKU_ID],Table3[[#This Row],[SKU_ID]],Table2[Transaction_Type],"Stock Received")</f>
        <v>200</v>
      </c>
      <c r="G8" s="2">
        <f>SUMIFS(Table2[Quantity],Table2[SKU_ID],Table3[[#This Row],[SKU_ID]],Table2[Transaction_Type],"Dispatched")</f>
        <v>175</v>
      </c>
      <c r="H8" s="2">
        <f>SUMIFS(Table2[Quantity],Table2[SKU_ID],Table3[[#This Row],[SKU_ID]],Table2[Transaction_Type],"Damaged")</f>
        <v>0</v>
      </c>
      <c r="I8" s="2">
        <f>SUM(Table3[[#This Row],[Opening Stock]],Table3[[#This Row],[Stock Received]])-SUM(Table3[[#This Row],[Stock Dispatched]],Table3[[#This Row],[Damaged]])</f>
        <v>225</v>
      </c>
      <c r="J8" s="2">
        <f>_xlfn.XLOOKUP(Table3[[#This Row],[SKU_ID]],Table1[SKU_ID],Table1[Reorder Threshold])</f>
        <v>40</v>
      </c>
      <c r="K8" s="2">
        <f>_xlfn.XLOOKUP(Table3[[#This Row],[SKU_ID]],Table1[SKU_ID],Table1[Unit Cost (GHS)])</f>
        <v>95</v>
      </c>
      <c r="L8" s="2">
        <f>Table3[[#This Row],[Closing Stock]]*Table3[[#This Row],[Unit Cost (GHS)]]</f>
        <v>21375</v>
      </c>
      <c r="M8" s="4" t="str">
        <f>IF(Table3[[#This Row],[Closing Stock]]&gt;=Table3[[#This Row],[Reorder Threshold]],"OK","LOW")</f>
        <v>OK</v>
      </c>
    </row>
    <row r="9" spans="1:13" ht="45" x14ac:dyDescent="0.25">
      <c r="A9" s="4" t="s">
        <v>41</v>
      </c>
      <c r="B9" s="4" t="s">
        <v>38</v>
      </c>
      <c r="C9" s="4" t="s">
        <v>39</v>
      </c>
      <c r="D9" s="4" t="s">
        <v>42</v>
      </c>
      <c r="E9" s="2">
        <f>_xlfn.XLOOKUP(Table3[[#This Row],[SKU_ID]],Table2[SKU_ID],Table2[Quantity])</f>
        <v>150</v>
      </c>
      <c r="F9" s="2">
        <f>SUMIFS(Table2[Quantity],Table2[SKU_ID],Table3[[#This Row],[SKU_ID]],Table2[Transaction_Type],"Stock Received")</f>
        <v>80</v>
      </c>
      <c r="G9" s="2">
        <f>SUMIFS(Table2[Quantity],Table2[SKU_ID],Table3[[#This Row],[SKU_ID]],Table2[Transaction_Type],"Dispatched")</f>
        <v>115</v>
      </c>
      <c r="H9" s="2">
        <f>SUMIFS(Table2[Quantity],Table2[SKU_ID],Table3[[#This Row],[SKU_ID]],Table2[Transaction_Type],"Damaged")</f>
        <v>0</v>
      </c>
      <c r="I9" s="2">
        <f>SUM(Table3[[#This Row],[Opening Stock]],Table3[[#This Row],[Stock Received]])-SUM(Table3[[#This Row],[Stock Dispatched]],Table3[[#This Row],[Damaged]])</f>
        <v>115</v>
      </c>
      <c r="J9" s="2">
        <f>_xlfn.XLOOKUP(Table3[[#This Row],[SKU_ID]],Table1[SKU_ID],Table1[Reorder Threshold])</f>
        <v>30</v>
      </c>
      <c r="K9" s="2">
        <f>_xlfn.XLOOKUP(Table3[[#This Row],[SKU_ID]],Table1[SKU_ID],Table1[Unit Cost (GHS)])</f>
        <v>150</v>
      </c>
      <c r="L9" s="2">
        <f>Table3[[#This Row],[Closing Stock]]*Table3[[#This Row],[Unit Cost (GHS)]]</f>
        <v>17250</v>
      </c>
      <c r="M9" s="4" t="str">
        <f>IF(Table3[[#This Row],[Closing Stock]]&gt;=Table3[[#This Row],[Reorder Threshold]],"OK","LOW")</f>
        <v>OK</v>
      </c>
    </row>
    <row r="10" spans="1:13" ht="45" x14ac:dyDescent="0.25">
      <c r="A10" s="4" t="s">
        <v>43</v>
      </c>
      <c r="B10" s="4" t="s">
        <v>44</v>
      </c>
      <c r="C10" s="4" t="s">
        <v>45</v>
      </c>
      <c r="D10" s="4" t="s">
        <v>46</v>
      </c>
      <c r="E10" s="2">
        <f>_xlfn.XLOOKUP(Table3[[#This Row],[SKU_ID]],Table2[SKU_ID],Table2[Quantity])</f>
        <v>300</v>
      </c>
      <c r="F10" s="2">
        <f>SUMIFS(Table2[Quantity],Table2[SKU_ID],Table3[[#This Row],[SKU_ID]],Table2[Transaction_Type],"Stock Received")</f>
        <v>150</v>
      </c>
      <c r="G10" s="2">
        <f>SUMIFS(Table2[Quantity],Table2[SKU_ID],Table3[[#This Row],[SKU_ID]],Table2[Transaction_Type],"Dispatched")</f>
        <v>170</v>
      </c>
      <c r="H10" s="2">
        <f>SUMIFS(Table2[Quantity],Table2[SKU_ID],Table3[[#This Row],[SKU_ID]],Table2[Transaction_Type],"Damaged")</f>
        <v>6</v>
      </c>
      <c r="I10" s="2">
        <f>SUM(Table3[[#This Row],[Opening Stock]],Table3[[#This Row],[Stock Received]])-SUM(Table3[[#This Row],[Stock Dispatched]],Table3[[#This Row],[Damaged]])</f>
        <v>274</v>
      </c>
      <c r="J10" s="2">
        <f>_xlfn.XLOOKUP(Table3[[#This Row],[SKU_ID]],Table1[SKU_ID],Table1[Reorder Threshold])</f>
        <v>60</v>
      </c>
      <c r="K10" s="2">
        <f>_xlfn.XLOOKUP(Table3[[#This Row],[SKU_ID]],Table1[SKU_ID],Table1[Unit Cost (GHS)])</f>
        <v>140</v>
      </c>
      <c r="L10" s="2">
        <f>Table3[[#This Row],[Closing Stock]]*Table3[[#This Row],[Unit Cost (GHS)]]</f>
        <v>38360</v>
      </c>
      <c r="M10" s="4" t="str">
        <f>IF(Table3[[#This Row],[Closing Stock]]&gt;=Table3[[#This Row],[Reorder Threshold]],"OK","LOW")</f>
        <v>OK</v>
      </c>
    </row>
    <row r="11" spans="1:13" ht="45" x14ac:dyDescent="0.25">
      <c r="A11" s="4" t="s">
        <v>50</v>
      </c>
      <c r="B11" s="4" t="s">
        <v>44</v>
      </c>
      <c r="C11" s="4" t="s">
        <v>45</v>
      </c>
      <c r="D11" s="4" t="s">
        <v>51</v>
      </c>
      <c r="E11" s="2">
        <f>_xlfn.XLOOKUP(Table3[[#This Row],[SKU_ID]],Table2[SKU_ID],Table2[Quantity])</f>
        <v>250</v>
      </c>
      <c r="F11" s="2">
        <f>SUMIFS(Table2[Quantity],Table2[SKU_ID],Table3[[#This Row],[SKU_ID]],Table2[Transaction_Type],"Stock Received")</f>
        <v>180</v>
      </c>
      <c r="G11" s="2">
        <f>SUMIFS(Table2[Quantity],Table2[SKU_ID],Table3[[#This Row],[SKU_ID]],Table2[Transaction_Type],"Dispatched")</f>
        <v>120</v>
      </c>
      <c r="H11" s="2">
        <f>SUMIFS(Table2[Quantity],Table2[SKU_ID],Table3[[#This Row],[SKU_ID]],Table2[Transaction_Type],"Damaged")</f>
        <v>0</v>
      </c>
      <c r="I11" s="2">
        <f>SUM(Table3[[#This Row],[Opening Stock]],Table3[[#This Row],[Stock Received]])-SUM(Table3[[#This Row],[Stock Dispatched]],Table3[[#This Row],[Damaged]])</f>
        <v>310</v>
      </c>
      <c r="J11" s="2">
        <f>_xlfn.XLOOKUP(Table3[[#This Row],[SKU_ID]],Table1[SKU_ID],Table1[Reorder Threshold])</f>
        <v>45</v>
      </c>
      <c r="K11" s="2">
        <f>_xlfn.XLOOKUP(Table3[[#This Row],[SKU_ID]],Table1[SKU_ID],Table1[Unit Cost (GHS)])</f>
        <v>130</v>
      </c>
      <c r="L11" s="2">
        <f>Table3[[#This Row],[Closing Stock]]*Table3[[#This Row],[Unit Cost (GHS)]]</f>
        <v>40300</v>
      </c>
      <c r="M11" s="4" t="str">
        <f>IF(Table3[[#This Row],[Closing Stock]]&gt;=Table3[[#This Row],[Reorder Threshold]],"OK","LOW")</f>
        <v>OK</v>
      </c>
    </row>
    <row r="12" spans="1:13" ht="30" x14ac:dyDescent="0.25">
      <c r="A12" s="4" t="s">
        <v>52</v>
      </c>
      <c r="B12" s="4" t="s">
        <v>53</v>
      </c>
      <c r="C12" s="4" t="s">
        <v>54</v>
      </c>
      <c r="D12" s="4" t="s">
        <v>55</v>
      </c>
      <c r="E12" s="2">
        <f>_xlfn.XLOOKUP(Table3[[#This Row],[SKU_ID]],Table2[SKU_ID],Table2[Quantity])</f>
        <v>280</v>
      </c>
      <c r="F12" s="2">
        <f>SUMIFS(Table2[Quantity],Table2[SKU_ID],Table3[[#This Row],[SKU_ID]],Table2[Transaction_Type],"Stock Received")</f>
        <v>120</v>
      </c>
      <c r="G12" s="2">
        <f>SUMIFS(Table2[Quantity],Table2[SKU_ID],Table3[[#This Row],[SKU_ID]],Table2[Transaction_Type],"Dispatched")</f>
        <v>135</v>
      </c>
      <c r="H12" s="2">
        <f>SUMIFS(Table2[Quantity],Table2[SKU_ID],Table3[[#This Row],[SKU_ID]],Table2[Transaction_Type],"Damaged")</f>
        <v>5</v>
      </c>
      <c r="I12" s="2">
        <f>SUM(Table3[[#This Row],[Opening Stock]],Table3[[#This Row],[Stock Received]])-SUM(Table3[[#This Row],[Stock Dispatched]],Table3[[#This Row],[Damaged]])</f>
        <v>260</v>
      </c>
      <c r="J12" s="2">
        <f>_xlfn.XLOOKUP(Table3[[#This Row],[SKU_ID]],Table1[SKU_ID],Table1[Reorder Threshold])</f>
        <v>50</v>
      </c>
      <c r="K12" s="2">
        <f>_xlfn.XLOOKUP(Table3[[#This Row],[SKU_ID]],Table1[SKU_ID],Table1[Unit Cost (GHS)])</f>
        <v>210</v>
      </c>
      <c r="L12" s="2">
        <f>Table3[[#This Row],[Closing Stock]]*Table3[[#This Row],[Unit Cost (GHS)]]</f>
        <v>54600</v>
      </c>
      <c r="M12" s="4" t="str">
        <f>IF(Table3[[#This Row],[Closing Stock]]&gt;=Table3[[#This Row],[Reorder Threshold]],"OK","LOW")</f>
        <v>OK</v>
      </c>
    </row>
    <row r="13" spans="1:13" ht="30" x14ac:dyDescent="0.25">
      <c r="A13" s="4" t="s">
        <v>57</v>
      </c>
      <c r="B13" s="4" t="s">
        <v>53</v>
      </c>
      <c r="C13" s="4" t="s">
        <v>54</v>
      </c>
      <c r="D13" s="4" t="s">
        <v>58</v>
      </c>
      <c r="E13" s="2">
        <f>_xlfn.XLOOKUP(Table3[[#This Row],[SKU_ID]],Table2[SKU_ID],Table2[Quantity])</f>
        <v>220</v>
      </c>
      <c r="F13" s="2">
        <f>SUMIFS(Table2[Quantity],Table2[SKU_ID],Table3[[#This Row],[SKU_ID]],Table2[Transaction_Type],"Stock Received")</f>
        <v>100</v>
      </c>
      <c r="G13" s="2">
        <f>SUMIFS(Table2[Quantity],Table2[SKU_ID],Table3[[#This Row],[SKU_ID]],Table2[Transaction_Type],"Dispatched")</f>
        <v>305</v>
      </c>
      <c r="H13" s="2">
        <f>SUMIFS(Table2[Quantity],Table2[SKU_ID],Table3[[#This Row],[SKU_ID]],Table2[Transaction_Type],"Damaged")</f>
        <v>0</v>
      </c>
      <c r="I13" s="2">
        <f>SUM(Table3[[#This Row],[Opening Stock]],Table3[[#This Row],[Stock Received]])-SUM(Table3[[#This Row],[Stock Dispatched]],Table3[[#This Row],[Damaged]])</f>
        <v>15</v>
      </c>
      <c r="J13" s="2">
        <f>_xlfn.XLOOKUP(Table3[[#This Row],[SKU_ID]],Table1[SKU_ID],Table1[Reorder Threshold])</f>
        <v>40</v>
      </c>
      <c r="K13" s="2">
        <f>_xlfn.XLOOKUP(Table3[[#This Row],[SKU_ID]],Table1[SKU_ID],Table1[Unit Cost (GHS)])</f>
        <v>175</v>
      </c>
      <c r="L13" s="2">
        <f>Table3[[#This Row],[Closing Stock]]*Table3[[#This Row],[Unit Cost (GHS)]]</f>
        <v>2625</v>
      </c>
      <c r="M13" s="4" t="str">
        <f>IF(Table3[[#This Row],[Closing Stock]]&gt;=Table3[[#This Row],[Reorder Threshold]],"OK","LOW")</f>
        <v>LOW</v>
      </c>
    </row>
    <row r="14" spans="1:13" ht="30" x14ac:dyDescent="0.25">
      <c r="A14" s="4" t="s">
        <v>59</v>
      </c>
      <c r="B14" s="4" t="s">
        <v>60</v>
      </c>
      <c r="C14" s="4" t="s">
        <v>61</v>
      </c>
      <c r="D14" s="4" t="s">
        <v>62</v>
      </c>
      <c r="E14" s="2">
        <f>_xlfn.XLOOKUP(Table3[[#This Row],[SKU_ID]],Table2[SKU_ID],Table2[Quantity])</f>
        <v>100</v>
      </c>
      <c r="F14" s="2">
        <f>SUMIFS(Table2[Quantity],Table2[SKU_ID],Table3[[#This Row],[SKU_ID]],Table2[Transaction_Type],"Stock Received")</f>
        <v>50</v>
      </c>
      <c r="G14" s="2">
        <f>SUMIFS(Table2[Quantity],Table2[SKU_ID],Table3[[#This Row],[SKU_ID]],Table2[Transaction_Type],"Dispatched")</f>
        <v>50</v>
      </c>
      <c r="H14" s="2">
        <f>SUMIFS(Table2[Quantity],Table2[SKU_ID],Table3[[#This Row],[SKU_ID]],Table2[Transaction_Type],"Damaged")</f>
        <v>0</v>
      </c>
      <c r="I14" s="2">
        <f>SUM(Table3[[#This Row],[Opening Stock]],Table3[[#This Row],[Stock Received]])-SUM(Table3[[#This Row],[Stock Dispatched]],Table3[[#This Row],[Damaged]])</f>
        <v>100</v>
      </c>
      <c r="J14" s="2">
        <f>_xlfn.XLOOKUP(Table3[[#This Row],[SKU_ID]],Table1[SKU_ID],Table1[Reorder Threshold])</f>
        <v>25</v>
      </c>
      <c r="K14" s="2">
        <f>_xlfn.XLOOKUP(Table3[[#This Row],[SKU_ID]],Table1[SKU_ID],Table1[Unit Cost (GHS)])</f>
        <v>320</v>
      </c>
      <c r="L14" s="2">
        <f>Table3[[#This Row],[Closing Stock]]*Table3[[#This Row],[Unit Cost (GHS)]]</f>
        <v>32000</v>
      </c>
      <c r="M14" s="4" t="str">
        <f>IF(Table3[[#This Row],[Closing Stock]]&gt;=Table3[[#This Row],[Reorder Threshold]],"OK","LOW")</f>
        <v>OK</v>
      </c>
    </row>
    <row r="15" spans="1:13" ht="30" x14ac:dyDescent="0.25">
      <c r="A15" s="4" t="s">
        <v>63</v>
      </c>
      <c r="B15" s="4" t="s">
        <v>60</v>
      </c>
      <c r="C15" s="4" t="s">
        <v>61</v>
      </c>
      <c r="D15" s="4" t="s">
        <v>64</v>
      </c>
      <c r="E15" s="2">
        <f>_xlfn.XLOOKUP(Table3[[#This Row],[SKU_ID]],Table2[SKU_ID],Table2[Quantity])</f>
        <v>180</v>
      </c>
      <c r="F15" s="2">
        <f>SUMIFS(Table2[Quantity],Table2[SKU_ID],Table3[[#This Row],[SKU_ID]],Table2[Transaction_Type],"Stock Received")</f>
        <v>80</v>
      </c>
      <c r="G15" s="2">
        <f>SUMIFS(Table2[Quantity],Table2[SKU_ID],Table3[[#This Row],[SKU_ID]],Table2[Transaction_Type],"Dispatched")</f>
        <v>80</v>
      </c>
      <c r="H15" s="2">
        <f>SUMIFS(Table2[Quantity],Table2[SKU_ID],Table3[[#This Row],[SKU_ID]],Table2[Transaction_Type],"Damaged")</f>
        <v>0</v>
      </c>
      <c r="I15" s="2">
        <f>SUM(Table3[[#This Row],[Opening Stock]],Table3[[#This Row],[Stock Received]])-SUM(Table3[[#This Row],[Stock Dispatched]],Table3[[#This Row],[Damaged]])</f>
        <v>180</v>
      </c>
      <c r="J15" s="2">
        <f>_xlfn.XLOOKUP(Table3[[#This Row],[SKU_ID]],Table1[SKU_ID],Table1[Reorder Threshold])</f>
        <v>35</v>
      </c>
      <c r="K15" s="2">
        <f>_xlfn.XLOOKUP(Table3[[#This Row],[SKU_ID]],Table1[SKU_ID],Table1[Unit Cost (GHS)])</f>
        <v>75</v>
      </c>
      <c r="L15" s="2">
        <f>Table3[[#This Row],[Closing Stock]]*Table3[[#This Row],[Unit Cost (GHS)]]</f>
        <v>13500</v>
      </c>
      <c r="M15" s="4" t="str">
        <f>IF(Table3[[#This Row],[Closing Stock]]&gt;=Table3[[#This Row],[Reorder Threshold]],"OK","LOW")</f>
        <v>OK</v>
      </c>
    </row>
    <row r="16" spans="1:13" ht="30" x14ac:dyDescent="0.25">
      <c r="A16" s="4" t="s">
        <v>65</v>
      </c>
      <c r="B16" s="4" t="s">
        <v>66</v>
      </c>
      <c r="C16" s="4" t="s">
        <v>67</v>
      </c>
      <c r="D16" s="4" t="s">
        <v>68</v>
      </c>
      <c r="E16" s="2">
        <f>_xlfn.XLOOKUP(Table3[[#This Row],[SKU_ID]],Table2[SKU_ID],Table2[Quantity])</f>
        <v>320</v>
      </c>
      <c r="F16" s="2">
        <f>SUMIFS(Table2[Quantity],Table2[SKU_ID],Table3[[#This Row],[SKU_ID]],Table2[Transaction_Type],"Stock Received")</f>
        <v>100</v>
      </c>
      <c r="G16" s="2">
        <f>SUMIFS(Table2[Quantity],Table2[SKU_ID],Table3[[#This Row],[SKU_ID]],Table2[Transaction_Type],"Dispatched")</f>
        <v>150</v>
      </c>
      <c r="H16" s="2">
        <f>SUMIFS(Table2[Quantity],Table2[SKU_ID],Table3[[#This Row],[SKU_ID]],Table2[Transaction_Type],"Damaged")</f>
        <v>0</v>
      </c>
      <c r="I16" s="2">
        <f>SUM(Table3[[#This Row],[Opening Stock]],Table3[[#This Row],[Stock Received]])-SUM(Table3[[#This Row],[Stock Dispatched]],Table3[[#This Row],[Damaged]])</f>
        <v>270</v>
      </c>
      <c r="J16" s="2">
        <f>_xlfn.XLOOKUP(Table3[[#This Row],[SKU_ID]],Table1[SKU_ID],Table1[Reorder Threshold])</f>
        <v>55</v>
      </c>
      <c r="K16" s="2">
        <f>_xlfn.XLOOKUP(Table3[[#This Row],[SKU_ID]],Table1[SKU_ID],Table1[Unit Cost (GHS)])</f>
        <v>125</v>
      </c>
      <c r="L16" s="2">
        <f>Table3[[#This Row],[Closing Stock]]*Table3[[#This Row],[Unit Cost (GHS)]]</f>
        <v>33750</v>
      </c>
      <c r="M16" s="4" t="str">
        <f>IF(Table3[[#This Row],[Closing Stock]]&gt;=Table3[[#This Row],[Reorder Threshold]],"OK","LOW")</f>
        <v>OK</v>
      </c>
    </row>
    <row r="17" spans="1:13" ht="45" x14ac:dyDescent="0.25">
      <c r="A17" s="4" t="s">
        <v>69</v>
      </c>
      <c r="B17" s="4" t="s">
        <v>66</v>
      </c>
      <c r="C17" s="4" t="s">
        <v>67</v>
      </c>
      <c r="D17" s="4" t="s">
        <v>70</v>
      </c>
      <c r="E17" s="2">
        <f>_xlfn.XLOOKUP(Table3[[#This Row],[SKU_ID]],Table2[SKU_ID],Table2[Quantity])</f>
        <v>250</v>
      </c>
      <c r="F17" s="2">
        <f>SUMIFS(Table2[Quantity],Table2[SKU_ID],Table3[[#This Row],[SKU_ID]],Table2[Transaction_Type],"Stock Received")</f>
        <v>80</v>
      </c>
      <c r="G17" s="2">
        <f>SUMIFS(Table2[Quantity],Table2[SKU_ID],Table3[[#This Row],[SKU_ID]],Table2[Transaction_Type],"Dispatched")</f>
        <v>105</v>
      </c>
      <c r="H17" s="2">
        <f>SUMIFS(Table2[Quantity],Table2[SKU_ID],Table3[[#This Row],[SKU_ID]],Table2[Transaction_Type],"Damaged")</f>
        <v>0</v>
      </c>
      <c r="I17" s="2">
        <f>SUM(Table3[[#This Row],[Opening Stock]],Table3[[#This Row],[Stock Received]])-SUM(Table3[[#This Row],[Stock Dispatched]],Table3[[#This Row],[Damaged]])</f>
        <v>225</v>
      </c>
      <c r="J17" s="2">
        <f>_xlfn.XLOOKUP(Table3[[#This Row],[SKU_ID]],Table1[SKU_ID],Table1[Reorder Threshold])</f>
        <v>60</v>
      </c>
      <c r="K17" s="2">
        <f>_xlfn.XLOOKUP(Table3[[#This Row],[SKU_ID]],Table1[SKU_ID],Table1[Unit Cost (GHS)])</f>
        <v>28</v>
      </c>
      <c r="L17" s="2">
        <f>Table3[[#This Row],[Closing Stock]]*Table3[[#This Row],[Unit Cost (GHS)]]</f>
        <v>6300</v>
      </c>
      <c r="M17" s="4" t="str">
        <f>IF(Table3[[#This Row],[Closing Stock]]&gt;=Table3[[#This Row],[Reorder Threshold]],"OK","LOW")</f>
        <v>OK</v>
      </c>
    </row>
    <row r="18" spans="1:13" ht="30" x14ac:dyDescent="0.25">
      <c r="A18" s="4" t="s">
        <v>73</v>
      </c>
      <c r="B18" s="4" t="s">
        <v>19</v>
      </c>
      <c r="C18" s="4" t="s">
        <v>20</v>
      </c>
      <c r="D18" s="4" t="s">
        <v>74</v>
      </c>
      <c r="E18" s="2">
        <f>_xlfn.XLOOKUP(Table3[[#This Row],[SKU_ID]],Table2[SKU_ID],Table2[Quantity])</f>
        <v>150</v>
      </c>
      <c r="F18" s="2">
        <f>SUMIFS(Table2[Quantity],Table2[SKU_ID],Table3[[#This Row],[SKU_ID]],Table2[Transaction_Type],"Stock Received")</f>
        <v>75</v>
      </c>
      <c r="G18" s="2">
        <f>SUMIFS(Table2[Quantity],Table2[SKU_ID],Table3[[#This Row],[SKU_ID]],Table2[Transaction_Type],"Dispatched")</f>
        <v>75</v>
      </c>
      <c r="H18" s="2">
        <f>SUMIFS(Table2[Quantity],Table2[SKU_ID],Table3[[#This Row],[SKU_ID]],Table2[Transaction_Type],"Damaged")</f>
        <v>0</v>
      </c>
      <c r="I18" s="2">
        <f>SUM(Table3[[#This Row],[Opening Stock]],Table3[[#This Row],[Stock Received]])-SUM(Table3[[#This Row],[Stock Dispatched]],Table3[[#This Row],[Damaged]])</f>
        <v>150</v>
      </c>
      <c r="J18" s="2">
        <f>_xlfn.XLOOKUP(Table3[[#This Row],[SKU_ID]],Table1[SKU_ID],Table1[Reorder Threshold])</f>
        <v>30</v>
      </c>
      <c r="K18" s="2">
        <f>_xlfn.XLOOKUP(Table3[[#This Row],[SKU_ID]],Table1[SKU_ID],Table1[Unit Cost (GHS)])</f>
        <v>65</v>
      </c>
      <c r="L18" s="2">
        <f>Table3[[#This Row],[Closing Stock]]*Table3[[#This Row],[Unit Cost (GHS)]]</f>
        <v>9750</v>
      </c>
      <c r="M18" s="4" t="str">
        <f>IF(Table3[[#This Row],[Closing Stock]]&gt;=Table3[[#This Row],[Reorder Threshold]],"OK","LOW")</f>
        <v>OK</v>
      </c>
    </row>
    <row r="19" spans="1:13" ht="30" x14ac:dyDescent="0.25">
      <c r="A19" s="4" t="s">
        <v>77</v>
      </c>
      <c r="B19" s="4" t="s">
        <v>38</v>
      </c>
      <c r="C19" s="4" t="s">
        <v>39</v>
      </c>
      <c r="D19" s="4" t="s">
        <v>78</v>
      </c>
      <c r="E19" s="2">
        <f>_xlfn.XLOOKUP(Table3[[#This Row],[SKU_ID]],Table2[SKU_ID],Table2[Quantity])</f>
        <v>100</v>
      </c>
      <c r="F19" s="2">
        <f>SUMIFS(Table2[Quantity],Table2[SKU_ID],Table3[[#This Row],[SKU_ID]],Table2[Transaction_Type],"Stock Received")</f>
        <v>60</v>
      </c>
      <c r="G19" s="2">
        <f>SUMIFS(Table2[Quantity],Table2[SKU_ID],Table3[[#This Row],[SKU_ID]],Table2[Transaction_Type],"Dispatched")</f>
        <v>70</v>
      </c>
      <c r="H19" s="2">
        <f>SUMIFS(Table2[Quantity],Table2[SKU_ID],Table3[[#This Row],[SKU_ID]],Table2[Transaction_Type],"Damaged")</f>
        <v>0</v>
      </c>
      <c r="I19" s="2">
        <f>SUM(Table3[[#This Row],[Opening Stock]],Table3[[#This Row],[Stock Received]])-SUM(Table3[[#This Row],[Stock Dispatched]],Table3[[#This Row],[Damaged]])</f>
        <v>90</v>
      </c>
      <c r="J19" s="2">
        <f>_xlfn.XLOOKUP(Table3[[#This Row],[SKU_ID]],Table1[SKU_ID],Table1[Reorder Threshold])</f>
        <v>20</v>
      </c>
      <c r="K19" s="2">
        <f>_xlfn.XLOOKUP(Table3[[#This Row],[SKU_ID]],Table1[SKU_ID],Table1[Unit Cost (GHS)])</f>
        <v>280</v>
      </c>
      <c r="L19" s="2">
        <f>Table3[[#This Row],[Closing Stock]]*Table3[[#This Row],[Unit Cost (GHS)]]</f>
        <v>25200</v>
      </c>
      <c r="M19" s="4" t="str">
        <f>IF(Table3[[#This Row],[Closing Stock]]&gt;=Table3[[#This Row],[Reorder Threshold]],"OK","LOW")</f>
        <v>OK</v>
      </c>
    </row>
    <row r="20" spans="1:13" ht="45" x14ac:dyDescent="0.25">
      <c r="A20" s="4" t="s">
        <v>79</v>
      </c>
      <c r="B20" s="4" t="s">
        <v>29</v>
      </c>
      <c r="C20" s="4" t="s">
        <v>30</v>
      </c>
      <c r="D20" s="4" t="s">
        <v>80</v>
      </c>
      <c r="E20" s="2">
        <f>_xlfn.XLOOKUP(Table3[[#This Row],[SKU_ID]],Table2[SKU_ID],Table2[Quantity])</f>
        <v>300</v>
      </c>
      <c r="F20" s="2">
        <f>SUMIFS(Table2[Quantity],Table2[SKU_ID],Table3[[#This Row],[SKU_ID]],Table2[Transaction_Type],"Stock Received")</f>
        <v>120</v>
      </c>
      <c r="G20" s="2">
        <f>SUMIFS(Table2[Quantity],Table2[SKU_ID],Table3[[#This Row],[SKU_ID]],Table2[Transaction_Type],"Dispatched")</f>
        <v>150</v>
      </c>
      <c r="H20" s="2">
        <f>SUMIFS(Table2[Quantity],Table2[SKU_ID],Table3[[#This Row],[SKU_ID]],Table2[Transaction_Type],"Damaged")</f>
        <v>0</v>
      </c>
      <c r="I20" s="2">
        <f>SUM(Table3[[#This Row],[Opening Stock]],Table3[[#This Row],[Stock Received]])-SUM(Table3[[#This Row],[Stock Dispatched]],Table3[[#This Row],[Damaged]])</f>
        <v>270</v>
      </c>
      <c r="J20" s="2">
        <f>_xlfn.XLOOKUP(Table3[[#This Row],[SKU_ID]],Table1[SKU_ID],Table1[Reorder Threshold])</f>
        <v>70</v>
      </c>
      <c r="K20" s="2">
        <f>_xlfn.XLOOKUP(Table3[[#This Row],[SKU_ID]],Table1[SKU_ID],Table1[Unit Cost (GHS)])</f>
        <v>105</v>
      </c>
      <c r="L20" s="2">
        <f>Table3[[#This Row],[Closing Stock]]*Table3[[#This Row],[Unit Cost (GHS)]]</f>
        <v>28350</v>
      </c>
      <c r="M20" s="4" t="str">
        <f>IF(Table3[[#This Row],[Closing Stock]]&gt;=Table3[[#This Row],[Reorder Threshold]],"OK","LOW")</f>
        <v>OK</v>
      </c>
    </row>
    <row r="21" spans="1:13" ht="45" x14ac:dyDescent="0.25">
      <c r="A21" s="4" t="s">
        <v>81</v>
      </c>
      <c r="B21" s="4" t="s">
        <v>10</v>
      </c>
      <c r="C21" s="4" t="s">
        <v>11</v>
      </c>
      <c r="D21" s="4" t="s">
        <v>82</v>
      </c>
      <c r="E21" s="2">
        <f>_xlfn.XLOOKUP(Table3[[#This Row],[SKU_ID]],Table2[SKU_ID],Table2[Quantity])</f>
        <v>900</v>
      </c>
      <c r="F21" s="2">
        <f>SUMIFS(Table2[Quantity],Table2[SKU_ID],Table3[[#This Row],[SKU_ID]],Table2[Transaction_Type],"Stock Received")</f>
        <v>300</v>
      </c>
      <c r="G21" s="2">
        <f>SUMIFS(Table2[Quantity],Table2[SKU_ID],Table3[[#This Row],[SKU_ID]],Table2[Transaction_Type],"Dispatched")</f>
        <v>400</v>
      </c>
      <c r="H21" s="2">
        <f>SUMIFS(Table2[Quantity],Table2[SKU_ID],Table3[[#This Row],[SKU_ID]],Table2[Transaction_Type],"Damaged")</f>
        <v>0</v>
      </c>
      <c r="I21" s="2">
        <f>SUM(Table3[[#This Row],[Opening Stock]],Table3[[#This Row],[Stock Received]])-SUM(Table3[[#This Row],[Stock Dispatched]],Table3[[#This Row],[Damaged]])</f>
        <v>800</v>
      </c>
      <c r="J21" s="2">
        <f>_xlfn.XLOOKUP(Table3[[#This Row],[SKU_ID]],Table1[SKU_ID],Table1[Reorder Threshold])</f>
        <v>120</v>
      </c>
      <c r="K21" s="2">
        <f>_xlfn.XLOOKUP(Table3[[#This Row],[SKU_ID]],Table1[SKU_ID],Table1[Unit Cost (GHS)])</f>
        <v>65</v>
      </c>
      <c r="L21" s="2">
        <f>Table3[[#This Row],[Closing Stock]]*Table3[[#This Row],[Unit Cost (GHS)]]</f>
        <v>52000</v>
      </c>
      <c r="M21" s="4" t="str">
        <f>IF(Table3[[#This Row],[Closing Stock]]&gt;=Table3[[#This Row],[Reorder Threshold]],"OK","LOW")</f>
        <v>OK</v>
      </c>
    </row>
  </sheetData>
  <conditionalFormatting sqref="M1:M1048576">
    <cfRule type="cellIs" dxfId="4" priority="1" operator="equal">
      <formula>"LOW"</formula>
    </cfRule>
    <cfRule type="cellIs" dxfId="3" priority="2" operator="equal">
      <formula>"OK"</formula>
    </cfRule>
    <cfRule type="iconSet" priority="3">
      <iconSet>
        <cfvo type="percent" val="0"/>
        <cfvo type="percent" val="33"/>
        <cfvo type="percent" val="67"/>
      </iconSet>
    </cfRule>
  </conditionalFormatting>
  <conditionalFormatting sqref="M2">
    <cfRule type="iconSet" priority="4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65FE-B948-4452-BE91-9BB652E97D77}">
  <dimension ref="A1:J27"/>
  <sheetViews>
    <sheetView workbookViewId="0">
      <selection activeCell="C10" sqref="C4:C12"/>
      <pivotSelection pane="bottomRight" showHeader="1" activeRow="9" activeCol="2" click="1" r:id="rId3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1" max="1" width="28" style="7" customWidth="1"/>
    <col min="3" max="3" width="16.5703125" bestFit="1" customWidth="1"/>
    <col min="4" max="4" width="16.28515625" bestFit="1" customWidth="1"/>
    <col min="5" max="5" width="15.5703125" bestFit="1" customWidth="1"/>
    <col min="6" max="6" width="18" bestFit="1" customWidth="1"/>
    <col min="7" max="7" width="20.28515625" bestFit="1" customWidth="1"/>
    <col min="8" max="8" width="11.28515625" bestFit="1" customWidth="1"/>
    <col min="9" max="9" width="18" bestFit="1" customWidth="1"/>
    <col min="10" max="10" width="23.85546875" bestFit="1" customWidth="1"/>
    <col min="11" max="11" width="28.140625" bestFit="1" customWidth="1"/>
    <col min="12" max="22" width="16.85546875" bestFit="1" customWidth="1"/>
    <col min="23" max="23" width="11.28515625" bestFit="1" customWidth="1"/>
  </cols>
  <sheetData>
    <row r="1" spans="3:10" x14ac:dyDescent="0.25">
      <c r="C1" s="5" t="s">
        <v>85</v>
      </c>
      <c r="D1" t="s" vm="1">
        <v>122</v>
      </c>
    </row>
    <row r="3" spans="3:10" x14ac:dyDescent="0.25">
      <c r="C3" s="5" t="s">
        <v>84</v>
      </c>
      <c r="D3" t="s">
        <v>291</v>
      </c>
      <c r="F3" s="5" t="s">
        <v>2</v>
      </c>
      <c r="G3" t="s">
        <v>290</v>
      </c>
      <c r="I3" s="5" t="s">
        <v>2</v>
      </c>
      <c r="J3" t="s">
        <v>287</v>
      </c>
    </row>
    <row r="4" spans="3:10" x14ac:dyDescent="0.25">
      <c r="C4" s="9">
        <v>46236</v>
      </c>
      <c r="D4" s="15">
        <v>600</v>
      </c>
      <c r="F4" s="6" t="s">
        <v>11</v>
      </c>
      <c r="G4">
        <v>1462</v>
      </c>
      <c r="I4" s="6" t="s">
        <v>61</v>
      </c>
      <c r="J4">
        <v>130</v>
      </c>
    </row>
    <row r="5" spans="3:10" x14ac:dyDescent="0.25">
      <c r="C5" s="9">
        <v>46241</v>
      </c>
      <c r="D5" s="15">
        <v>360</v>
      </c>
      <c r="F5" s="6" t="s">
        <v>30</v>
      </c>
      <c r="G5">
        <v>1038</v>
      </c>
      <c r="I5" s="6" t="s">
        <v>20</v>
      </c>
      <c r="J5">
        <v>195</v>
      </c>
    </row>
    <row r="6" spans="3:10" x14ac:dyDescent="0.25">
      <c r="C6" s="9">
        <v>46243</v>
      </c>
      <c r="D6" s="15">
        <v>75</v>
      </c>
      <c r="F6" s="6" t="s">
        <v>45</v>
      </c>
      <c r="G6">
        <v>584</v>
      </c>
      <c r="I6" s="6" t="s">
        <v>67</v>
      </c>
      <c r="J6">
        <v>255</v>
      </c>
    </row>
    <row r="7" spans="3:10" x14ac:dyDescent="0.25">
      <c r="C7" s="9">
        <v>46244</v>
      </c>
      <c r="D7" s="15">
        <v>450</v>
      </c>
      <c r="F7" s="6" t="s">
        <v>67</v>
      </c>
      <c r="G7">
        <v>495</v>
      </c>
      <c r="I7" s="6" t="s">
        <v>45</v>
      </c>
      <c r="J7">
        <v>290</v>
      </c>
    </row>
    <row r="8" spans="3:10" x14ac:dyDescent="0.25">
      <c r="C8" s="9">
        <v>46246</v>
      </c>
      <c r="D8" s="15">
        <v>350</v>
      </c>
      <c r="F8" s="6" t="s">
        <v>39</v>
      </c>
      <c r="G8">
        <v>430</v>
      </c>
      <c r="I8" s="6" t="s">
        <v>39</v>
      </c>
      <c r="J8">
        <v>360</v>
      </c>
    </row>
    <row r="9" spans="3:10" x14ac:dyDescent="0.25">
      <c r="C9" s="9">
        <v>46247</v>
      </c>
      <c r="D9" s="15">
        <v>255</v>
      </c>
      <c r="F9" s="6" t="s">
        <v>20</v>
      </c>
      <c r="G9">
        <v>335</v>
      </c>
      <c r="I9" s="6" t="s">
        <v>30</v>
      </c>
      <c r="J9">
        <v>430</v>
      </c>
    </row>
    <row r="10" spans="3:10" x14ac:dyDescent="0.25">
      <c r="C10" s="9">
        <v>46250</v>
      </c>
      <c r="D10" s="15">
        <v>500</v>
      </c>
      <c r="F10" s="6" t="s">
        <v>61</v>
      </c>
      <c r="G10">
        <v>280</v>
      </c>
      <c r="I10" s="6" t="s">
        <v>54</v>
      </c>
      <c r="J10">
        <v>440</v>
      </c>
    </row>
    <row r="11" spans="3:10" x14ac:dyDescent="0.25">
      <c r="C11" s="9">
        <v>46251</v>
      </c>
      <c r="D11" s="15">
        <v>250</v>
      </c>
      <c r="F11" s="6" t="s">
        <v>54</v>
      </c>
      <c r="G11">
        <v>275</v>
      </c>
      <c r="I11" s="6" t="s">
        <v>11</v>
      </c>
      <c r="J11">
        <v>1880</v>
      </c>
    </row>
    <row r="12" spans="3:10" x14ac:dyDescent="0.25">
      <c r="C12" s="9">
        <v>46252</v>
      </c>
      <c r="D12" s="15">
        <v>180</v>
      </c>
      <c r="F12" s="6" t="s">
        <v>280</v>
      </c>
      <c r="G12">
        <v>4899</v>
      </c>
      <c r="I12" s="6" t="s">
        <v>280</v>
      </c>
      <c r="J12">
        <v>3980</v>
      </c>
    </row>
    <row r="13" spans="3:10" x14ac:dyDescent="0.25">
      <c r="C13" s="6" t="s">
        <v>280</v>
      </c>
      <c r="D13" s="15">
        <v>3020</v>
      </c>
    </row>
    <row r="17" spans="3:10" x14ac:dyDescent="0.25">
      <c r="C17" s="5" t="s">
        <v>2</v>
      </c>
      <c r="D17" t="s">
        <v>289</v>
      </c>
    </row>
    <row r="18" spans="3:10" x14ac:dyDescent="0.25">
      <c r="C18" s="6" t="s">
        <v>20</v>
      </c>
      <c r="D18" s="10">
        <v>197150</v>
      </c>
      <c r="F18" s="5" t="s">
        <v>2</v>
      </c>
      <c r="G18" t="s">
        <v>288</v>
      </c>
      <c r="I18" s="5" t="s">
        <v>279</v>
      </c>
      <c r="J18" t="s">
        <v>294</v>
      </c>
    </row>
    <row r="19" spans="3:10" x14ac:dyDescent="0.25">
      <c r="C19" s="6" t="s">
        <v>30</v>
      </c>
      <c r="D19" s="10">
        <v>112830</v>
      </c>
      <c r="F19" s="6" t="s">
        <v>30</v>
      </c>
      <c r="G19">
        <v>22</v>
      </c>
      <c r="I19" s="6" t="s">
        <v>30</v>
      </c>
      <c r="J19">
        <v>1</v>
      </c>
    </row>
    <row r="20" spans="3:10" x14ac:dyDescent="0.25">
      <c r="C20" s="6" t="s">
        <v>11</v>
      </c>
      <c r="D20" s="10">
        <v>109410</v>
      </c>
      <c r="F20" s="6" t="s">
        <v>39</v>
      </c>
      <c r="G20">
        <v>0</v>
      </c>
      <c r="I20" s="6" t="s">
        <v>39</v>
      </c>
      <c r="J20">
        <v>1</v>
      </c>
    </row>
    <row r="21" spans="3:10" x14ac:dyDescent="0.25">
      <c r="C21" s="6" t="s">
        <v>45</v>
      </c>
      <c r="D21" s="10">
        <v>78660</v>
      </c>
      <c r="F21" s="6" t="s">
        <v>11</v>
      </c>
      <c r="G21">
        <v>8</v>
      </c>
      <c r="I21" s="6" t="s">
        <v>11</v>
      </c>
      <c r="J21">
        <v>1</v>
      </c>
    </row>
    <row r="22" spans="3:10" x14ac:dyDescent="0.25">
      <c r="C22" s="6" t="s">
        <v>39</v>
      </c>
      <c r="D22" s="10">
        <v>63825</v>
      </c>
      <c r="F22" s="6" t="s">
        <v>20</v>
      </c>
      <c r="G22">
        <v>0</v>
      </c>
      <c r="I22" s="6" t="s">
        <v>20</v>
      </c>
      <c r="J22">
        <v>1</v>
      </c>
    </row>
    <row r="23" spans="3:10" x14ac:dyDescent="0.25">
      <c r="C23" s="6" t="s">
        <v>54</v>
      </c>
      <c r="D23" s="10">
        <v>57225</v>
      </c>
      <c r="F23" s="6" t="s">
        <v>54</v>
      </c>
      <c r="G23">
        <v>5</v>
      </c>
      <c r="I23" s="6" t="s">
        <v>54</v>
      </c>
      <c r="J23">
        <v>1</v>
      </c>
    </row>
    <row r="24" spans="3:10" x14ac:dyDescent="0.25">
      <c r="C24" s="6" t="s">
        <v>61</v>
      </c>
      <c r="D24" s="10">
        <v>45500</v>
      </c>
      <c r="F24" s="6" t="s">
        <v>67</v>
      </c>
      <c r="G24">
        <v>0</v>
      </c>
      <c r="I24" s="6" t="s">
        <v>67</v>
      </c>
      <c r="J24">
        <v>1</v>
      </c>
    </row>
    <row r="25" spans="3:10" x14ac:dyDescent="0.25">
      <c r="C25" s="6" t="s">
        <v>67</v>
      </c>
      <c r="D25" s="10">
        <v>40050</v>
      </c>
      <c r="F25" s="6" t="s">
        <v>45</v>
      </c>
      <c r="G25">
        <v>6</v>
      </c>
      <c r="I25" s="6" t="s">
        <v>45</v>
      </c>
      <c r="J25">
        <v>1</v>
      </c>
    </row>
    <row r="26" spans="3:10" x14ac:dyDescent="0.25">
      <c r="C26" s="6" t="s">
        <v>280</v>
      </c>
      <c r="D26" s="10">
        <v>704650</v>
      </c>
      <c r="F26" s="6" t="s">
        <v>61</v>
      </c>
      <c r="G26">
        <v>0</v>
      </c>
      <c r="I26" s="6" t="s">
        <v>61</v>
      </c>
      <c r="J26">
        <v>1</v>
      </c>
    </row>
    <row r="27" spans="3:10" x14ac:dyDescent="0.25">
      <c r="F27" s="6" t="s">
        <v>280</v>
      </c>
      <c r="G27">
        <v>41</v>
      </c>
      <c r="I27" s="6" t="s">
        <v>280</v>
      </c>
      <c r="J27">
        <v>8</v>
      </c>
    </row>
  </sheetData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FD24-CCBF-4275-83AB-DC3D9D994249}">
  <dimension ref="A1"/>
  <sheetViews>
    <sheetView showGridLines="0" topLeftCell="A2" zoomScale="71" zoomScaleNormal="71" workbookViewId="0"/>
  </sheetViews>
  <sheetFormatPr defaultRowHeight="15" x14ac:dyDescent="0.25"/>
  <cols>
    <col min="1" max="1" width="46.42578125" style="7" customWidth="1"/>
    <col min="2" max="16384" width="9.140625" style="8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945E3-37CB-4385-B446-38CAA4E344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Master_Products</vt:lpstr>
      <vt:lpstr>Transactions</vt:lpstr>
      <vt:lpstr>Inventory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2026-08-18T14:50:20Z</dcterms:created>
  <dcterms:modified xsi:type="dcterms:W3CDTF">2026-08-19T09:15:35Z</dcterms:modified>
</cp:coreProperties>
</file>